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zlovDN\Downloads\"/>
    </mc:Choice>
  </mc:AlternateContent>
  <bookViews>
    <workbookView xWindow="0" yWindow="0" windowWidth="28800" windowHeight="1057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F17" i="1" l="1"/>
  <c r="F15" i="1"/>
</calcChain>
</file>

<file path=xl/sharedStrings.xml><?xml version="1.0" encoding="utf-8"?>
<sst xmlns="http://schemas.openxmlformats.org/spreadsheetml/2006/main" count="40" uniqueCount="33">
  <si>
    <t>УРТ брутто на выработку э/э после КР</t>
  </si>
  <si>
    <r>
      <t>ккал/кВт</t>
    </r>
    <r>
      <rPr>
        <sz val="11"/>
        <color theme="1"/>
        <rFont val="Times New Roman"/>
        <family val="1"/>
        <charset val="204"/>
      </rPr>
      <t>∙ч</t>
    </r>
  </si>
  <si>
    <r>
      <t>q</t>
    </r>
    <r>
      <rPr>
        <vertAlign val="subscript"/>
        <sz val="11"/>
        <color theme="1"/>
        <rFont val="Times New Roman"/>
        <family val="1"/>
        <charset val="204"/>
      </rPr>
      <t>Т(БР)</t>
    </r>
    <r>
      <rPr>
        <vertAlign val="superscript"/>
        <sz val="11"/>
        <color theme="1"/>
        <rFont val="Times New Roman"/>
        <family val="1"/>
        <charset val="204"/>
      </rPr>
      <t>ФАКТ</t>
    </r>
  </si>
  <si>
    <r>
      <t>q</t>
    </r>
    <r>
      <rPr>
        <vertAlign val="subscript"/>
        <sz val="11"/>
        <color theme="1"/>
        <rFont val="Times New Roman"/>
        <family val="1"/>
        <charset val="204"/>
      </rPr>
      <t>Т(БР)</t>
    </r>
    <r>
      <rPr>
        <vertAlign val="superscript"/>
        <sz val="11"/>
        <color theme="1"/>
        <rFont val="Times New Roman"/>
        <family val="1"/>
        <charset val="204"/>
      </rPr>
      <t>КР</t>
    </r>
  </si>
  <si>
    <t>Отклонение фактического УРТ на выработку э/э</t>
  </si>
  <si>
    <r>
      <t>∆</t>
    </r>
    <r>
      <rPr>
        <sz val="11"/>
        <color theme="1"/>
        <rFont val="Times New Roman"/>
        <family val="2"/>
        <charset val="204"/>
      </rPr>
      <t>q</t>
    </r>
    <r>
      <rPr>
        <vertAlign val="subscript"/>
        <sz val="11"/>
        <color theme="1"/>
        <rFont val="Times New Roman"/>
        <family val="1"/>
        <charset val="204"/>
      </rPr>
      <t>Т(БР)</t>
    </r>
  </si>
  <si>
    <t>КПД котлов нетто</t>
  </si>
  <si>
    <t>%</t>
  </si>
  <si>
    <r>
      <t>η</t>
    </r>
    <r>
      <rPr>
        <vertAlign val="subscript"/>
        <sz val="11"/>
        <color theme="1"/>
        <rFont val="Times New Roman"/>
        <family val="1"/>
        <charset val="204"/>
      </rPr>
      <t>К(Н)</t>
    </r>
  </si>
  <si>
    <t>Коэффициент теплового потока</t>
  </si>
  <si>
    <r>
      <t>η</t>
    </r>
    <r>
      <rPr>
        <vertAlign val="subscript"/>
        <sz val="11"/>
        <color theme="1"/>
        <rFont val="Times New Roman"/>
        <family val="1"/>
        <charset val="204"/>
      </rPr>
      <t>ТП</t>
    </r>
  </si>
  <si>
    <t>Выработка э/э</t>
  </si>
  <si>
    <t>тыс. кВт∙ч</t>
  </si>
  <si>
    <t>Э</t>
  </si>
  <si>
    <t>УРТ брутто на выработку э/э фактический</t>
  </si>
  <si>
    <t>КПД котла брутто фактический</t>
  </si>
  <si>
    <t>КПД котла брутто после КР</t>
  </si>
  <si>
    <r>
      <t>η</t>
    </r>
    <r>
      <rPr>
        <vertAlign val="subscript"/>
        <sz val="11"/>
        <color theme="1"/>
        <rFont val="Times New Roman"/>
        <family val="1"/>
        <charset val="204"/>
      </rPr>
      <t>К(БР)</t>
    </r>
    <r>
      <rPr>
        <vertAlign val="superscript"/>
        <sz val="11"/>
        <color theme="1"/>
        <rFont val="Times New Roman"/>
        <family val="1"/>
        <charset val="204"/>
      </rPr>
      <t>ФАКТ</t>
    </r>
  </si>
  <si>
    <r>
      <t>η</t>
    </r>
    <r>
      <rPr>
        <vertAlign val="subscript"/>
        <sz val="11"/>
        <color theme="1"/>
        <rFont val="Times New Roman"/>
        <family val="1"/>
        <charset val="204"/>
      </rPr>
      <t>К(БР)</t>
    </r>
    <r>
      <rPr>
        <vertAlign val="superscript"/>
        <sz val="11"/>
        <color theme="1"/>
        <rFont val="Times New Roman"/>
        <family val="1"/>
        <charset val="204"/>
      </rPr>
      <t>КР</t>
    </r>
  </si>
  <si>
    <t>Расход топлива фактический</t>
  </si>
  <si>
    <t>тут</t>
  </si>
  <si>
    <r>
      <t>В</t>
    </r>
    <r>
      <rPr>
        <vertAlign val="subscript"/>
        <sz val="11"/>
        <color theme="1"/>
        <rFont val="Times New Roman"/>
        <family val="1"/>
        <charset val="204"/>
      </rPr>
      <t>К</t>
    </r>
    <r>
      <rPr>
        <vertAlign val="superscript"/>
        <sz val="11"/>
        <color theme="1"/>
        <rFont val="Times New Roman"/>
        <family val="1"/>
        <charset val="204"/>
      </rPr>
      <t>ФАКТ</t>
    </r>
  </si>
  <si>
    <t>Показатель</t>
  </si>
  <si>
    <t>Ед. изм.</t>
  </si>
  <si>
    <t>Обозначение</t>
  </si>
  <si>
    <t>Значение</t>
  </si>
  <si>
    <t>Отклонение расхода топлива по УРТ</t>
  </si>
  <si>
    <t xml:space="preserve">Отклонение расхода топлива по КПД котла </t>
  </si>
  <si>
    <t>№</t>
  </si>
  <si>
    <t>Исходные данные</t>
  </si>
  <si>
    <t>Расчет</t>
  </si>
  <si>
    <r>
      <t>∆В</t>
    </r>
    <r>
      <rPr>
        <b/>
        <vertAlign val="subscript"/>
        <sz val="11"/>
        <color theme="1"/>
        <rFont val="Times New Roman"/>
        <family val="1"/>
        <charset val="204"/>
      </rPr>
      <t>ТА</t>
    </r>
  </si>
  <si>
    <r>
      <t>∆В</t>
    </r>
    <r>
      <rPr>
        <b/>
        <vertAlign val="subscript"/>
        <sz val="11"/>
        <color theme="1"/>
        <rFont val="Times New Roman"/>
        <family val="1"/>
        <charset val="204"/>
      </rPr>
      <t>КА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</si>
</sst>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_-;\-* #,##0.0_-;_-* &quot;-&quot;??_-;_-@_-"/>
  </numFmts>
  <fonts count="7" x14ac:knownFonts="1"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1"/>
      <charset val="204"/>
    </font>
    <font>
      <vertAlign val="subscript"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vertAlign val="subscript"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2" fontId="2" fillId="0" borderId="1" xfId="0" applyNumberFormat="1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2" fillId="0" borderId="11" xfId="0" applyFont="1" applyBorder="1"/>
    <xf numFmtId="0" fontId="0" fillId="0" borderId="12" xfId="0" applyBorder="1"/>
    <xf numFmtId="0" fontId="5" fillId="0" borderId="6" xfId="0" applyFont="1" applyBorder="1"/>
    <xf numFmtId="2" fontId="5" fillId="0" borderId="6" xfId="0" applyNumberFormat="1" applyFont="1" applyBorder="1"/>
    <xf numFmtId="164" fontId="5" fillId="0" borderId="7" xfId="1" applyNumberFormat="1" applyFont="1" applyBorder="1"/>
    <xf numFmtId="0" fontId="5" fillId="0" borderId="11" xfId="0" applyFont="1" applyBorder="1"/>
    <xf numFmtId="2" fontId="5" fillId="0" borderId="11" xfId="0" applyNumberFormat="1" applyFont="1" applyBorder="1"/>
    <xf numFmtId="0" fontId="5" fillId="0" borderId="12" xfId="0" applyFont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7"/>
  <sheetViews>
    <sheetView tabSelected="1" workbookViewId="0">
      <selection activeCell="F16" sqref="F16"/>
    </sheetView>
  </sheetViews>
  <sheetFormatPr defaultRowHeight="15" x14ac:dyDescent="0.25"/>
  <cols>
    <col min="2" max="2" width="6.140625" style="2" customWidth="1"/>
    <col min="3" max="3" width="49.7109375" customWidth="1"/>
    <col min="4" max="4" width="12.42578125" customWidth="1"/>
    <col min="5" max="5" width="17.5703125" customWidth="1"/>
    <col min="6" max="6" width="11.28515625" customWidth="1"/>
  </cols>
  <sheetData>
    <row r="3" spans="2:6" ht="15.75" thickBot="1" x14ac:dyDescent="0.3"/>
    <row r="4" spans="2:6" s="1" customFormat="1" ht="15.75" thickBot="1" x14ac:dyDescent="0.3">
      <c r="B4" s="5" t="s">
        <v>28</v>
      </c>
      <c r="C4" s="6" t="s">
        <v>22</v>
      </c>
      <c r="D4" s="6" t="s">
        <v>23</v>
      </c>
      <c r="E4" s="6" t="s">
        <v>24</v>
      </c>
      <c r="F4" s="7" t="s">
        <v>25</v>
      </c>
    </row>
    <row r="5" spans="2:6" x14ac:dyDescent="0.25">
      <c r="B5" s="8"/>
      <c r="C5" s="9" t="s">
        <v>29</v>
      </c>
      <c r="D5" s="9"/>
      <c r="E5" s="9"/>
      <c r="F5" s="10"/>
    </row>
    <row r="6" spans="2:6" x14ac:dyDescent="0.25">
      <c r="B6" s="11">
        <v>1</v>
      </c>
      <c r="C6" s="3" t="s">
        <v>11</v>
      </c>
      <c r="D6" s="3" t="s">
        <v>12</v>
      </c>
      <c r="E6" s="3" t="s">
        <v>13</v>
      </c>
      <c r="F6" s="12">
        <v>1000</v>
      </c>
    </row>
    <row r="7" spans="2:6" ht="18.75" x14ac:dyDescent="0.3">
      <c r="B7" s="11">
        <v>2</v>
      </c>
      <c r="C7" s="3" t="s">
        <v>14</v>
      </c>
      <c r="D7" s="3" t="s">
        <v>1</v>
      </c>
      <c r="E7" s="3" t="s">
        <v>2</v>
      </c>
      <c r="F7" s="12">
        <v>1950</v>
      </c>
    </row>
    <row r="8" spans="2:6" ht="18.75" x14ac:dyDescent="0.3">
      <c r="B8" s="11">
        <v>3</v>
      </c>
      <c r="C8" s="3" t="s">
        <v>0</v>
      </c>
      <c r="D8" s="3" t="s">
        <v>1</v>
      </c>
      <c r="E8" s="3" t="s">
        <v>3</v>
      </c>
      <c r="F8" s="12">
        <v>1870</v>
      </c>
    </row>
    <row r="9" spans="2:6" ht="16.5" x14ac:dyDescent="0.3">
      <c r="B9" s="11">
        <v>4</v>
      </c>
      <c r="C9" s="3" t="s">
        <v>6</v>
      </c>
      <c r="D9" s="3" t="s">
        <v>7</v>
      </c>
      <c r="E9" s="4" t="s">
        <v>8</v>
      </c>
      <c r="F9" s="12">
        <v>85</v>
      </c>
    </row>
    <row r="10" spans="2:6" ht="16.5" x14ac:dyDescent="0.3">
      <c r="B10" s="11">
        <v>5</v>
      </c>
      <c r="C10" s="3" t="s">
        <v>9</v>
      </c>
      <c r="D10" s="3" t="s">
        <v>7</v>
      </c>
      <c r="E10" s="4" t="s">
        <v>10</v>
      </c>
      <c r="F10" s="12">
        <v>98</v>
      </c>
    </row>
    <row r="11" spans="2:6" ht="18.75" x14ac:dyDescent="0.3">
      <c r="B11" s="11">
        <v>6</v>
      </c>
      <c r="C11" s="3" t="s">
        <v>19</v>
      </c>
      <c r="D11" s="3" t="s">
        <v>20</v>
      </c>
      <c r="E11" s="4" t="s">
        <v>21</v>
      </c>
      <c r="F11" s="12">
        <v>20000</v>
      </c>
    </row>
    <row r="12" spans="2:6" ht="18.75" x14ac:dyDescent="0.3">
      <c r="B12" s="11">
        <v>7</v>
      </c>
      <c r="C12" s="3" t="s">
        <v>15</v>
      </c>
      <c r="D12" s="3" t="s">
        <v>7</v>
      </c>
      <c r="E12" s="4" t="s">
        <v>17</v>
      </c>
      <c r="F12" s="12">
        <v>91</v>
      </c>
    </row>
    <row r="13" spans="2:6" ht="18.75" x14ac:dyDescent="0.3">
      <c r="B13" s="11">
        <v>8</v>
      </c>
      <c r="C13" s="3" t="s">
        <v>16</v>
      </c>
      <c r="D13" s="3" t="s">
        <v>7</v>
      </c>
      <c r="E13" s="4" t="s">
        <v>18</v>
      </c>
      <c r="F13" s="12">
        <v>90.5</v>
      </c>
    </row>
    <row r="14" spans="2:6" x14ac:dyDescent="0.25">
      <c r="B14" s="11"/>
      <c r="C14" s="3" t="s">
        <v>30</v>
      </c>
      <c r="D14" s="3"/>
      <c r="E14" s="3"/>
      <c r="F14" s="12"/>
    </row>
    <row r="15" spans="2:6" ht="17.25" thickBot="1" x14ac:dyDescent="0.35">
      <c r="B15" s="13">
        <v>9</v>
      </c>
      <c r="C15" s="14" t="s">
        <v>4</v>
      </c>
      <c r="D15" s="14" t="s">
        <v>1</v>
      </c>
      <c r="E15" s="15" t="s">
        <v>5</v>
      </c>
      <c r="F15" s="16">
        <f>F7-F8</f>
        <v>80</v>
      </c>
    </row>
    <row r="16" spans="2:6" ht="17.25" x14ac:dyDescent="0.3">
      <c r="B16" s="8">
        <v>10</v>
      </c>
      <c r="C16" s="17" t="s">
        <v>26</v>
      </c>
      <c r="D16" s="17" t="s">
        <v>20</v>
      </c>
      <c r="E16" s="18" t="s">
        <v>31</v>
      </c>
      <c r="F16" s="19">
        <f>F15*F6/7000/(F9/100)/(F10/100)</f>
        <v>13.719773623735209</v>
      </c>
    </row>
    <row r="17" spans="2:6" ht="18" thickBot="1" x14ac:dyDescent="0.35">
      <c r="B17" s="13">
        <v>11</v>
      </c>
      <c r="C17" s="20" t="s">
        <v>27</v>
      </c>
      <c r="D17" s="20" t="s">
        <v>20</v>
      </c>
      <c r="E17" s="21" t="s">
        <v>32</v>
      </c>
      <c r="F17" s="22">
        <f>(F13-F12)/100*F11</f>
        <v>-100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AO SUEK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Юн Станислав Станиславович \ Stanislav Iun</dc:creator>
  <cp:lastModifiedBy>Козлов Дмитрий Николаевич \ Dmitrii Kozlov</cp:lastModifiedBy>
  <dcterms:created xsi:type="dcterms:W3CDTF">2025-12-26T12:22:58Z</dcterms:created>
  <dcterms:modified xsi:type="dcterms:W3CDTF">2026-03-02T11:41:42Z</dcterms:modified>
</cp:coreProperties>
</file>
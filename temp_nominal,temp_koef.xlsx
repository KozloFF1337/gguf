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esktop\"/>
    </mc:Choice>
  </mc:AlternateContent>
  <bookViews>
    <workbookView xWindow="0" yWindow="0" windowWidth="13305" windowHeight="51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G30" i="1" s="1"/>
  <c r="I30" i="1" s="1"/>
  <c r="K30" i="1" s="1"/>
  <c r="M30" i="1" s="1"/>
  <c r="O30" i="1" s="1"/>
  <c r="Q30" i="1" s="1"/>
  <c r="S30" i="1" s="1"/>
  <c r="U30" i="1" s="1"/>
  <c r="W30" i="1" s="1"/>
  <c r="Y30" i="1" s="1"/>
  <c r="AA30" i="1" s="1"/>
  <c r="AC30" i="1" s="1"/>
  <c r="D30" i="1"/>
  <c r="F30" i="1" s="1"/>
  <c r="H30" i="1" s="1"/>
  <c r="J30" i="1" s="1"/>
  <c r="L30" i="1" s="1"/>
  <c r="N30" i="1" s="1"/>
  <c r="P30" i="1" s="1"/>
  <c r="R30" i="1" s="1"/>
  <c r="T30" i="1" s="1"/>
  <c r="V30" i="1" s="1"/>
  <c r="X30" i="1" s="1"/>
  <c r="Z30" i="1" s="1"/>
  <c r="AB30" i="1" s="1"/>
  <c r="E3" i="1"/>
  <c r="G3" i="1" s="1"/>
  <c r="I3" i="1" s="1"/>
  <c r="K3" i="1" s="1"/>
  <c r="M3" i="1" s="1"/>
  <c r="O3" i="1" s="1"/>
  <c r="Q3" i="1" s="1"/>
  <c r="S3" i="1" s="1"/>
  <c r="U3" i="1" s="1"/>
  <c r="W3" i="1" s="1"/>
  <c r="Y3" i="1" s="1"/>
  <c r="AA3" i="1" s="1"/>
  <c r="AC3" i="1" s="1"/>
  <c r="D3" i="1"/>
  <c r="F3" i="1" s="1"/>
  <c r="H3" i="1" s="1"/>
  <c r="J3" i="1" s="1"/>
  <c r="L3" i="1" s="1"/>
  <c r="N3" i="1" s="1"/>
  <c r="P3" i="1" s="1"/>
  <c r="R3" i="1" s="1"/>
  <c r="T3" i="1" s="1"/>
  <c r="V3" i="1" s="1"/>
  <c r="X3" i="1" s="1"/>
  <c r="Z3" i="1" s="1"/>
  <c r="AB3" i="1" s="1"/>
</calcChain>
</file>

<file path=xl/sharedStrings.xml><?xml version="1.0" encoding="utf-8"?>
<sst xmlns="http://schemas.openxmlformats.org/spreadsheetml/2006/main" count="49" uniqueCount="27">
  <si>
    <t>Наименование электростанции</t>
  </si>
  <si>
    <r>
      <t xml:space="preserve">Номинальная температура хололного воздуха, </t>
    </r>
    <r>
      <rPr>
        <sz val="11"/>
        <color theme="1"/>
        <rFont val="Calibri"/>
        <family val="2"/>
        <charset val="204"/>
      </rPr>
      <t>°</t>
    </r>
    <r>
      <rPr>
        <sz val="12.65"/>
        <color theme="1"/>
        <rFont val="Calibri"/>
        <family val="2"/>
      </rPr>
      <t>С</t>
    </r>
  </si>
  <si>
    <t>1А</t>
  </si>
  <si>
    <t>1Б</t>
  </si>
  <si>
    <t>Кемеровская ТЭЦ</t>
  </si>
  <si>
    <t>Ново-Кемеровская ТЭЦ</t>
  </si>
  <si>
    <t>Барнаульская ТЭЦ-2</t>
  </si>
  <si>
    <t>Барнаульская ТЭЦ-3</t>
  </si>
  <si>
    <t>Бийская ТЭЦ</t>
  </si>
  <si>
    <t>Красноярская ТЭЦ-1</t>
  </si>
  <si>
    <t>Красноярская ТЭЦ-2</t>
  </si>
  <si>
    <t>Красноярская ТЭЦ-3</t>
  </si>
  <si>
    <t>Канская ТЭЦ</t>
  </si>
  <si>
    <t>Абаканская ТЭЦ</t>
  </si>
  <si>
    <t>Минусинская ТЭЦ</t>
  </si>
  <si>
    <t>Новосибирская ТЭЦ-2</t>
  </si>
  <si>
    <t>Новосибирская ТЭЦ-3</t>
  </si>
  <si>
    <t>Новосибирская ТЭЦ-4</t>
  </si>
  <si>
    <t>Новосибирская ТЭЦ-5</t>
  </si>
  <si>
    <t>Барабинская ТЭЦ</t>
  </si>
  <si>
    <r>
      <t xml:space="preserve">Поправка к КПД котла брутто на </t>
    </r>
    <r>
      <rPr>
        <sz val="11"/>
        <color theme="1"/>
        <rFont val="Calibri"/>
        <family val="2"/>
        <charset val="204"/>
      </rPr>
      <t>∆</t>
    </r>
    <r>
      <rPr>
        <sz val="12.65"/>
        <color theme="1"/>
        <rFont val="Calibri"/>
        <family val="2"/>
      </rPr>
      <t>t</t>
    </r>
    <r>
      <rPr>
        <vertAlign val="subscript"/>
        <sz val="12.65"/>
        <color theme="1"/>
        <rFont val="Calibri"/>
        <family val="2"/>
        <charset val="204"/>
      </rPr>
      <t>ХВ</t>
    </r>
    <r>
      <rPr>
        <sz val="12.65"/>
        <color theme="1"/>
        <rFont val="Calibri"/>
        <family val="2"/>
        <charset val="204"/>
      </rPr>
      <t>= +1 °</t>
    </r>
    <r>
      <rPr>
        <sz val="11"/>
        <color theme="1"/>
        <rFont val="Calibri"/>
        <family val="2"/>
        <charset val="204"/>
        <scheme val="minor"/>
      </rPr>
      <t>С</t>
    </r>
    <r>
      <rPr>
        <sz val="12.65"/>
        <color theme="1"/>
        <rFont val="Calibri"/>
        <family val="2"/>
        <charset val="204"/>
      </rPr>
      <t>, %</t>
    </r>
  </si>
  <si>
    <t>Рефтинская ГРЭС</t>
  </si>
  <si>
    <t>Томь-Усинская ГРЭС</t>
  </si>
  <si>
    <t>Беловская ГРЭС</t>
  </si>
  <si>
    <t>Назаровская ГРЭС</t>
  </si>
  <si>
    <t>Красноярская ГРЭС-2</t>
  </si>
  <si>
    <t>Приморская ГРЭС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</si>
</sst>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.000"/>
    <numFmt numFmtId="166" formatCode="0.00000000"/>
    <numFmt numFmtId="167" formatCode="_-* #,##0.0000000_-;\-* #,##0.0000000_-;_-* &quot;-&quot;??_-;_-@_-"/>
    <numFmt numFmtId="168" formatCode="_-* #,##0.000000_-;\-* #,##0.000000_-;_-* &quot;-&quot;??_-;_-@_-"/>
    <numFmt numFmtId="169" formatCode="_-* #,##0.000_-;\-* #,##0.0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.65"/>
      <color theme="1"/>
      <name val="Calibri"/>
      <family val="2"/>
    </font>
    <font>
      <vertAlign val="subscript"/>
      <sz val="12.65"/>
      <color theme="1"/>
      <name val="Calibri"/>
      <family val="2"/>
      <charset val="204"/>
    </font>
    <font>
      <sz val="12.65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0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2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2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0" fontId="2" fillId="2" borderId="10" xfId="1" applyNumberFormat="1" applyFont="1" applyFill="1" applyBorder="1" applyAlignment="1">
      <alignment horizontal="center" vertical="center"/>
    </xf>
    <xf numFmtId="0" fontId="2" fillId="2" borderId="12" xfId="1" applyNumberFormat="1" applyFont="1" applyFill="1" applyBorder="1" applyAlignment="1">
      <alignment horizontal="center" vertical="center"/>
    </xf>
    <xf numFmtId="164" fontId="2" fillId="2" borderId="12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0" xfId="1" applyNumberFormat="1" applyFont="1" applyFill="1" applyBorder="1" applyAlignment="1">
      <alignment horizontal="center" vertical="center"/>
    </xf>
    <xf numFmtId="0" fontId="2" fillId="0" borderId="12" xfId="1" applyNumberFormat="1" applyFont="1" applyFill="1" applyBorder="1" applyAlignment="1">
      <alignment horizontal="center" vertical="center"/>
    </xf>
    <xf numFmtId="0" fontId="2" fillId="2" borderId="13" xfId="1" applyNumberFormat="1" applyFont="1" applyFill="1" applyBorder="1" applyAlignment="1">
      <alignment horizontal="center" vertical="center"/>
    </xf>
    <xf numFmtId="0" fontId="2" fillId="2" borderId="14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/>
    </xf>
    <xf numFmtId="168" fontId="2" fillId="2" borderId="1" xfId="1" applyNumberFormat="1" applyFont="1" applyFill="1" applyBorder="1" applyAlignment="1">
      <alignment horizontal="center" vertical="center"/>
    </xf>
    <xf numFmtId="169" fontId="2" fillId="0" borderId="1" xfId="1" applyNumberFormat="1" applyFont="1" applyFill="1" applyBorder="1" applyAlignment="1">
      <alignment horizontal="right" vertical="center" wrapText="1" shrinkToFit="1"/>
    </xf>
    <xf numFmtId="169" fontId="2" fillId="0" borderId="10" xfId="1" applyNumberFormat="1" applyFont="1" applyFill="1" applyBorder="1" applyAlignment="1">
      <alignment horizontal="center" vertical="center" wrapText="1" shrinkToFit="1"/>
    </xf>
    <xf numFmtId="169" fontId="2" fillId="0" borderId="12" xfId="1" applyNumberFormat="1" applyFont="1" applyFill="1" applyBorder="1" applyAlignment="1">
      <alignment horizontal="center" vertical="center" wrapText="1" shrinkToFit="1"/>
    </xf>
    <xf numFmtId="169" fontId="2" fillId="0" borderId="11" xfId="1" applyNumberFormat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tabSelected="1" zoomScale="60" zoomScaleNormal="60" workbookViewId="0">
      <selection activeCell="Q66" sqref="Q66"/>
    </sheetView>
  </sheetViews>
  <sheetFormatPr defaultRowHeight="15" x14ac:dyDescent="0.25"/>
  <cols>
    <col min="1" max="1" width="30.5703125" bestFit="1" customWidth="1"/>
    <col min="2" max="2" width="18.85546875" bestFit="1" customWidth="1"/>
    <col min="3" max="5" width="13.42578125" bestFit="1" customWidth="1"/>
    <col min="6" max="13" width="12.7109375" bestFit="1" customWidth="1"/>
    <col min="14" max="15" width="13" bestFit="1" customWidth="1"/>
    <col min="16" max="19" width="11.85546875" bestFit="1" customWidth="1"/>
  </cols>
  <sheetData>
    <row r="1" spans="1:35" ht="17.2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35" x14ac:dyDescent="0.25">
      <c r="A2" s="1"/>
      <c r="B2" s="5">
        <v>1</v>
      </c>
      <c r="C2" s="5"/>
      <c r="D2" s="5">
        <v>2</v>
      </c>
      <c r="E2" s="5"/>
      <c r="F2" s="5">
        <v>3</v>
      </c>
      <c r="G2" s="5"/>
      <c r="H2" s="5">
        <v>4</v>
      </c>
      <c r="I2" s="5"/>
      <c r="J2" s="5">
        <v>5</v>
      </c>
      <c r="K2" s="5"/>
      <c r="L2" s="5">
        <v>6</v>
      </c>
      <c r="M2" s="5"/>
      <c r="N2" s="5">
        <v>7</v>
      </c>
      <c r="O2" s="5"/>
      <c r="P2" s="5">
        <v>8</v>
      </c>
      <c r="Q2" s="5"/>
      <c r="R2" s="5">
        <v>9</v>
      </c>
      <c r="S2" s="5"/>
      <c r="T2" s="5">
        <v>10</v>
      </c>
      <c r="U2" s="5"/>
      <c r="V2" s="5">
        <v>11</v>
      </c>
      <c r="W2" s="5"/>
      <c r="X2" s="5">
        <v>12</v>
      </c>
      <c r="Y2" s="5"/>
      <c r="Z2" s="5">
        <v>13</v>
      </c>
      <c r="AA2" s="5"/>
      <c r="AB2" s="5">
        <v>14</v>
      </c>
      <c r="AC2" s="5"/>
      <c r="AD2" s="6">
        <v>15</v>
      </c>
      <c r="AE2" s="6">
        <v>16</v>
      </c>
      <c r="AF2" s="6">
        <v>17</v>
      </c>
      <c r="AG2" s="6">
        <v>18</v>
      </c>
      <c r="AH2" s="6">
        <v>19</v>
      </c>
      <c r="AI2" s="6">
        <v>20</v>
      </c>
    </row>
    <row r="3" spans="1:35" x14ac:dyDescent="0.25">
      <c r="A3" s="1"/>
      <c r="B3" s="7" t="s">
        <v>2</v>
      </c>
      <c r="C3" s="8" t="s">
        <v>3</v>
      </c>
      <c r="D3" s="7" t="str">
        <f>LEFT(B3,LEN(B3)-1)+1&amp;"А"</f>
        <v>2А</v>
      </c>
      <c r="E3" s="8" t="str">
        <f>LEFT(C3,LEN(C3)-1)+1&amp;"Б"</f>
        <v>2Б</v>
      </c>
      <c r="F3" s="7" t="str">
        <f t="shared" ref="F3" si="0">LEFT(D3,LEN(D3)-1)+1&amp;"А"</f>
        <v>3А</v>
      </c>
      <c r="G3" s="8" t="str">
        <f t="shared" ref="G3" si="1">LEFT(E3,LEN(E3)-1)+1&amp;"Б"</f>
        <v>3Б</v>
      </c>
      <c r="H3" s="7" t="str">
        <f t="shared" ref="H3" si="2">LEFT(F3,LEN(F3)-1)+1&amp;"А"</f>
        <v>4А</v>
      </c>
      <c r="I3" s="8" t="str">
        <f t="shared" ref="I3" si="3">LEFT(G3,LEN(G3)-1)+1&amp;"Б"</f>
        <v>4Б</v>
      </c>
      <c r="J3" s="7" t="str">
        <f t="shared" ref="J3" si="4">LEFT(H3,LEN(H3)-1)+1&amp;"А"</f>
        <v>5А</v>
      </c>
      <c r="K3" s="8" t="str">
        <f t="shared" ref="K3" si="5">LEFT(I3,LEN(I3)-1)+1&amp;"Б"</f>
        <v>5Б</v>
      </c>
      <c r="L3" s="7" t="str">
        <f t="shared" ref="L3" si="6">LEFT(J3,LEN(J3)-1)+1&amp;"А"</f>
        <v>6А</v>
      </c>
      <c r="M3" s="8" t="str">
        <f t="shared" ref="M3" si="7">LEFT(K3,LEN(K3)-1)+1&amp;"Б"</f>
        <v>6Б</v>
      </c>
      <c r="N3" s="7" t="str">
        <f t="shared" ref="N3" si="8">LEFT(L3,LEN(L3)-1)+1&amp;"А"</f>
        <v>7А</v>
      </c>
      <c r="O3" s="8" t="str">
        <f t="shared" ref="O3" si="9">LEFT(M3,LEN(M3)-1)+1&amp;"Б"</f>
        <v>7Б</v>
      </c>
      <c r="P3" s="7" t="str">
        <f t="shared" ref="P3" si="10">LEFT(N3,LEN(N3)-1)+1&amp;"А"</f>
        <v>8А</v>
      </c>
      <c r="Q3" s="8" t="str">
        <f t="shared" ref="Q3" si="11">LEFT(O3,LEN(O3)-1)+1&amp;"Б"</f>
        <v>8Б</v>
      </c>
      <c r="R3" s="7" t="str">
        <f t="shared" ref="R3" si="12">LEFT(P3,LEN(P3)-1)+1&amp;"А"</f>
        <v>9А</v>
      </c>
      <c r="S3" s="8" t="str">
        <f t="shared" ref="S3" si="13">LEFT(Q3,LEN(Q3)-1)+1&amp;"Б"</f>
        <v>9Б</v>
      </c>
      <c r="T3" s="7" t="str">
        <f t="shared" ref="T3" si="14">LEFT(R3,LEN(R3)-1)+1&amp;"А"</f>
        <v>10А</v>
      </c>
      <c r="U3" s="8" t="str">
        <f t="shared" ref="U3" si="15">LEFT(S3,LEN(S3)-1)+1&amp;"Б"</f>
        <v>10Б</v>
      </c>
      <c r="V3" s="7" t="str">
        <f t="shared" ref="V3" si="16">LEFT(T3,LEN(T3)-1)+1&amp;"А"</f>
        <v>11А</v>
      </c>
      <c r="W3" s="8" t="str">
        <f t="shared" ref="W3" si="17">LEFT(U3,LEN(U3)-1)+1&amp;"Б"</f>
        <v>11Б</v>
      </c>
      <c r="X3" s="7" t="str">
        <f t="shared" ref="X3" si="18">LEFT(V3,LEN(V3)-1)+1&amp;"А"</f>
        <v>12А</v>
      </c>
      <c r="Y3" s="8" t="str">
        <f t="shared" ref="Y3" si="19">LEFT(W3,LEN(W3)-1)+1&amp;"Б"</f>
        <v>12Б</v>
      </c>
      <c r="Z3" s="7" t="str">
        <f t="shared" ref="Z3" si="20">LEFT(X3,LEN(X3)-1)+1&amp;"А"</f>
        <v>13А</v>
      </c>
      <c r="AA3" s="8" t="str">
        <f t="shared" ref="AA3" si="21">LEFT(Y3,LEN(Y3)-1)+1&amp;"Б"</f>
        <v>13Б</v>
      </c>
      <c r="AB3" s="7" t="str">
        <f t="shared" ref="AB3" si="22">LEFT(Z3,LEN(Z3)-1)+1&amp;"А"</f>
        <v>14А</v>
      </c>
      <c r="AC3" s="8" t="str">
        <f t="shared" ref="AC3" si="23">LEFT(AA3,LEN(AA3)-1)+1&amp;"Б"</f>
        <v>14Б</v>
      </c>
      <c r="AD3" s="9"/>
      <c r="AE3" s="9"/>
      <c r="AF3" s="9"/>
      <c r="AG3" s="9"/>
      <c r="AH3" s="9"/>
      <c r="AI3" s="9"/>
    </row>
    <row r="4" spans="1:35" x14ac:dyDescent="0.25">
      <c r="A4" s="10" t="s">
        <v>4</v>
      </c>
      <c r="B4" s="11">
        <v>30</v>
      </c>
      <c r="C4" s="11"/>
      <c r="D4" s="12"/>
      <c r="E4" s="12"/>
      <c r="F4" s="12"/>
      <c r="G4" s="12"/>
      <c r="H4" s="12"/>
      <c r="I4" s="12"/>
      <c r="J4" s="11">
        <v>30</v>
      </c>
      <c r="K4" s="11"/>
      <c r="L4" s="11">
        <v>30</v>
      </c>
      <c r="M4" s="11"/>
      <c r="N4" s="11">
        <v>30</v>
      </c>
      <c r="O4" s="11"/>
      <c r="P4" s="11">
        <v>30</v>
      </c>
      <c r="Q4" s="11"/>
      <c r="R4" s="11">
        <v>30</v>
      </c>
      <c r="S4" s="11"/>
      <c r="T4" s="11">
        <v>30</v>
      </c>
      <c r="U4" s="11"/>
      <c r="V4" s="11">
        <v>30</v>
      </c>
      <c r="W4" s="11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x14ac:dyDescent="0.25">
      <c r="A5" s="10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1">
        <v>30</v>
      </c>
      <c r="Q5" s="11"/>
      <c r="R5" s="11">
        <v>30</v>
      </c>
      <c r="S5" s="11"/>
      <c r="T5" s="11">
        <v>30</v>
      </c>
      <c r="U5" s="11"/>
      <c r="V5" s="11">
        <v>30</v>
      </c>
      <c r="W5" s="11"/>
      <c r="X5" s="11">
        <v>30</v>
      </c>
      <c r="Y5" s="11"/>
      <c r="Z5" s="11">
        <v>30</v>
      </c>
      <c r="AA5" s="11"/>
      <c r="AB5" s="11">
        <v>30</v>
      </c>
      <c r="AC5" s="11"/>
      <c r="AD5" s="13">
        <v>30</v>
      </c>
      <c r="AE5" s="13">
        <v>30</v>
      </c>
      <c r="AF5" s="14"/>
      <c r="AG5" s="12"/>
      <c r="AH5" s="12"/>
      <c r="AI5" s="12"/>
    </row>
    <row r="6" spans="1:35" x14ac:dyDescent="0.25">
      <c r="A6" s="10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1">
        <v>30</v>
      </c>
      <c r="M6" s="11"/>
      <c r="N6" s="11">
        <v>30</v>
      </c>
      <c r="O6" s="11"/>
      <c r="P6" s="12"/>
      <c r="Q6" s="12"/>
      <c r="R6" s="11">
        <v>30</v>
      </c>
      <c r="S6" s="11"/>
      <c r="T6" s="11">
        <v>30</v>
      </c>
      <c r="U6" s="11"/>
      <c r="V6" s="11">
        <v>30</v>
      </c>
      <c r="W6" s="11"/>
      <c r="X6" s="11">
        <v>30</v>
      </c>
      <c r="Y6" s="11"/>
      <c r="Z6" s="11">
        <v>30</v>
      </c>
      <c r="AA6" s="11"/>
      <c r="AB6" s="11">
        <v>30</v>
      </c>
      <c r="AC6" s="11"/>
      <c r="AD6" s="13">
        <v>30</v>
      </c>
      <c r="AE6" s="13">
        <v>30</v>
      </c>
      <c r="AF6" s="13">
        <v>30</v>
      </c>
      <c r="AG6" s="13">
        <v>30</v>
      </c>
      <c r="AH6" s="12"/>
      <c r="AI6" s="12"/>
    </row>
    <row r="7" spans="1:35" x14ac:dyDescent="0.25">
      <c r="A7" s="10" t="s">
        <v>7</v>
      </c>
      <c r="B7" s="11">
        <v>30</v>
      </c>
      <c r="C7" s="11"/>
      <c r="D7" s="11">
        <v>30</v>
      </c>
      <c r="E7" s="11"/>
      <c r="F7" s="11">
        <v>30</v>
      </c>
      <c r="G7" s="11"/>
      <c r="H7" s="11">
        <v>30</v>
      </c>
      <c r="I7" s="11"/>
      <c r="J7" s="11">
        <v>30</v>
      </c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 x14ac:dyDescent="0.25">
      <c r="A8" s="10" t="s">
        <v>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1">
        <v>30</v>
      </c>
      <c r="O8" s="11"/>
      <c r="P8" s="12"/>
      <c r="Q8" s="12"/>
      <c r="R8" s="12"/>
      <c r="S8" s="12"/>
      <c r="T8" s="11">
        <v>30</v>
      </c>
      <c r="U8" s="11"/>
      <c r="V8" s="11">
        <v>30</v>
      </c>
      <c r="W8" s="11"/>
      <c r="X8" s="11">
        <v>30</v>
      </c>
      <c r="Y8" s="11"/>
      <c r="Z8" s="11">
        <v>30</v>
      </c>
      <c r="AA8" s="11"/>
      <c r="AB8" s="11">
        <v>30</v>
      </c>
      <c r="AC8" s="11"/>
      <c r="AD8" s="13">
        <v>30</v>
      </c>
      <c r="AE8" s="13">
        <v>30</v>
      </c>
      <c r="AF8" s="12"/>
      <c r="AG8" s="12"/>
      <c r="AH8" s="12"/>
      <c r="AI8" s="12"/>
    </row>
    <row r="9" spans="1:35" x14ac:dyDescent="0.25">
      <c r="A9" s="10" t="s">
        <v>9</v>
      </c>
      <c r="B9" s="12"/>
      <c r="C9" s="12"/>
      <c r="D9" s="12"/>
      <c r="E9" s="12"/>
      <c r="F9" s="12"/>
      <c r="G9" s="12"/>
      <c r="H9" s="11">
        <v>40</v>
      </c>
      <c r="I9" s="11"/>
      <c r="J9" s="11">
        <v>40</v>
      </c>
      <c r="K9" s="11"/>
      <c r="L9" s="11">
        <v>40</v>
      </c>
      <c r="M9" s="11"/>
      <c r="N9" s="11">
        <v>40</v>
      </c>
      <c r="O9" s="11"/>
      <c r="P9" s="11">
        <v>40</v>
      </c>
      <c r="Q9" s="11"/>
      <c r="R9" s="11">
        <v>40</v>
      </c>
      <c r="S9" s="11"/>
      <c r="T9" s="11">
        <v>40</v>
      </c>
      <c r="U9" s="11"/>
      <c r="V9" s="11">
        <v>40</v>
      </c>
      <c r="W9" s="11"/>
      <c r="X9" s="11">
        <v>40</v>
      </c>
      <c r="Y9" s="11"/>
      <c r="Z9" s="11">
        <v>40</v>
      </c>
      <c r="AA9" s="11"/>
      <c r="AB9" s="11">
        <v>40</v>
      </c>
      <c r="AC9" s="11"/>
      <c r="AD9" s="12"/>
      <c r="AE9" s="12"/>
      <c r="AF9" s="13">
        <v>40</v>
      </c>
      <c r="AG9" s="13">
        <v>40</v>
      </c>
      <c r="AH9" s="13">
        <v>40</v>
      </c>
      <c r="AI9" s="13">
        <v>40</v>
      </c>
    </row>
    <row r="10" spans="1:35" x14ac:dyDescent="0.25">
      <c r="A10" s="10" t="s">
        <v>10</v>
      </c>
      <c r="B10" s="11">
        <v>30</v>
      </c>
      <c r="C10" s="11"/>
      <c r="D10" s="11">
        <v>30</v>
      </c>
      <c r="E10" s="11"/>
      <c r="F10" s="11">
        <v>30</v>
      </c>
      <c r="G10" s="11"/>
      <c r="H10" s="11">
        <v>30</v>
      </c>
      <c r="I10" s="11"/>
      <c r="J10" s="11">
        <v>30</v>
      </c>
      <c r="K10" s="11"/>
      <c r="L10" s="11">
        <v>30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x14ac:dyDescent="0.25">
      <c r="A11" s="10" t="s">
        <v>11</v>
      </c>
      <c r="B11" s="11">
        <v>30</v>
      </c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x14ac:dyDescent="0.25">
      <c r="A12" s="10" t="s">
        <v>12</v>
      </c>
      <c r="B12" s="11">
        <v>40</v>
      </c>
      <c r="C12" s="11"/>
      <c r="D12" s="11">
        <v>40</v>
      </c>
      <c r="E12" s="11"/>
      <c r="F12" s="11">
        <v>30</v>
      </c>
      <c r="G12" s="11"/>
      <c r="H12" s="11">
        <v>30</v>
      </c>
      <c r="I12" s="11"/>
      <c r="J12" s="11">
        <v>30</v>
      </c>
      <c r="K12" s="11"/>
      <c r="L12" s="11">
        <v>30</v>
      </c>
      <c r="M12" s="11"/>
      <c r="N12" s="11">
        <v>30</v>
      </c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x14ac:dyDescent="0.25">
      <c r="A13" s="10" t="s">
        <v>13</v>
      </c>
      <c r="B13" s="11">
        <v>30</v>
      </c>
      <c r="C13" s="11"/>
      <c r="D13" s="11">
        <v>30</v>
      </c>
      <c r="E13" s="11"/>
      <c r="F13" s="11">
        <v>30</v>
      </c>
      <c r="G13" s="11"/>
      <c r="H13" s="11">
        <v>30</v>
      </c>
      <c r="I13" s="11"/>
      <c r="J13" s="11">
        <v>30</v>
      </c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x14ac:dyDescent="0.25">
      <c r="A14" s="10" t="s">
        <v>14</v>
      </c>
      <c r="B14" s="11">
        <v>10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x14ac:dyDescent="0.25">
      <c r="A15" s="10" t="s">
        <v>15</v>
      </c>
      <c r="B15" s="12"/>
      <c r="C15" s="12"/>
      <c r="D15" s="12"/>
      <c r="E15" s="12"/>
      <c r="F15" s="12"/>
      <c r="G15" s="12"/>
      <c r="H15" s="11">
        <v>30</v>
      </c>
      <c r="I15" s="11"/>
      <c r="J15" s="11">
        <v>30</v>
      </c>
      <c r="K15" s="11"/>
      <c r="L15" s="11">
        <v>30</v>
      </c>
      <c r="M15" s="11"/>
      <c r="N15" s="11">
        <v>30</v>
      </c>
      <c r="O15" s="11"/>
      <c r="P15" s="11">
        <v>30</v>
      </c>
      <c r="Q15" s="11"/>
      <c r="R15" s="11">
        <v>30</v>
      </c>
      <c r="S15" s="11"/>
      <c r="T15" s="11">
        <v>30</v>
      </c>
      <c r="U15" s="1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x14ac:dyDescent="0.25">
      <c r="A16" s="10" t="s">
        <v>16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1">
        <v>30</v>
      </c>
      <c r="O16" s="11"/>
      <c r="P16" s="11">
        <v>30</v>
      </c>
      <c r="Q16" s="11"/>
      <c r="R16" s="11">
        <v>30</v>
      </c>
      <c r="S16" s="11"/>
      <c r="T16" s="11">
        <v>30</v>
      </c>
      <c r="U16" s="11"/>
      <c r="V16" s="11">
        <v>30</v>
      </c>
      <c r="W16" s="11"/>
      <c r="X16" s="11">
        <v>30</v>
      </c>
      <c r="Y16" s="11"/>
      <c r="Z16" s="11">
        <v>30</v>
      </c>
      <c r="AA16" s="11"/>
      <c r="AB16" s="11">
        <v>30</v>
      </c>
      <c r="AC16" s="11"/>
      <c r="AD16" s="12"/>
      <c r="AE16" s="12"/>
      <c r="AF16" s="12"/>
      <c r="AG16" s="12"/>
      <c r="AH16" s="12"/>
      <c r="AI16" s="12"/>
    </row>
    <row r="17" spans="1:35" x14ac:dyDescent="0.25">
      <c r="A17" s="10" t="s">
        <v>17</v>
      </c>
      <c r="B17" s="12"/>
      <c r="C17" s="12"/>
      <c r="D17" s="12"/>
      <c r="E17" s="12"/>
      <c r="F17" s="12"/>
      <c r="G17" s="12"/>
      <c r="H17" s="12"/>
      <c r="I17" s="12"/>
      <c r="J17" s="11">
        <v>30</v>
      </c>
      <c r="K17" s="11"/>
      <c r="L17" s="11">
        <v>30</v>
      </c>
      <c r="M17" s="11"/>
      <c r="N17" s="11">
        <v>30</v>
      </c>
      <c r="O17" s="11"/>
      <c r="P17" s="11">
        <v>30</v>
      </c>
      <c r="Q17" s="11"/>
      <c r="R17" s="11">
        <v>30</v>
      </c>
      <c r="S17" s="11"/>
      <c r="T17" s="11">
        <v>30</v>
      </c>
      <c r="U17" s="11"/>
      <c r="V17" s="11">
        <v>30</v>
      </c>
      <c r="W17" s="11"/>
      <c r="X17" s="11">
        <v>30</v>
      </c>
      <c r="Y17" s="11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x14ac:dyDescent="0.25">
      <c r="A18" s="10" t="s">
        <v>18</v>
      </c>
      <c r="B18" s="11">
        <v>30</v>
      </c>
      <c r="C18" s="11"/>
      <c r="D18" s="11">
        <v>30</v>
      </c>
      <c r="E18" s="11"/>
      <c r="F18" s="11">
        <v>30</v>
      </c>
      <c r="G18" s="11"/>
      <c r="H18" s="11">
        <v>30</v>
      </c>
      <c r="I18" s="11"/>
      <c r="J18" s="11">
        <v>30</v>
      </c>
      <c r="K18" s="11"/>
      <c r="L18" s="11">
        <v>30</v>
      </c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x14ac:dyDescent="0.25">
      <c r="A19" s="15" t="s">
        <v>19</v>
      </c>
      <c r="B19" s="11">
        <v>30</v>
      </c>
      <c r="C19" s="11"/>
      <c r="D19" s="11">
        <v>30</v>
      </c>
      <c r="E19" s="11"/>
      <c r="F19" s="11">
        <v>30</v>
      </c>
      <c r="G19" s="11"/>
      <c r="H19" s="11">
        <v>30</v>
      </c>
      <c r="I19" s="11"/>
      <c r="J19" s="11">
        <v>30</v>
      </c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 x14ac:dyDescent="0.25">
      <c r="A20" s="18" t="s">
        <v>22</v>
      </c>
      <c r="B20" s="30">
        <v>35</v>
      </c>
      <c r="C20" s="31"/>
      <c r="D20" s="30">
        <v>35</v>
      </c>
      <c r="E20" s="31"/>
      <c r="F20" s="30">
        <v>35</v>
      </c>
      <c r="G20" s="31"/>
      <c r="H20" s="30">
        <v>35</v>
      </c>
      <c r="I20" s="31"/>
      <c r="J20" s="30">
        <v>35</v>
      </c>
      <c r="K20" s="31"/>
      <c r="L20" s="30">
        <v>35</v>
      </c>
      <c r="M20" s="31"/>
      <c r="N20" s="30">
        <v>35</v>
      </c>
      <c r="O20" s="31"/>
      <c r="P20" s="30">
        <v>35</v>
      </c>
      <c r="Q20" s="31"/>
      <c r="R20" s="30">
        <v>35</v>
      </c>
      <c r="S20" s="31"/>
      <c r="T20" s="30">
        <v>35</v>
      </c>
      <c r="U20" s="31"/>
      <c r="V20" s="30">
        <v>35</v>
      </c>
      <c r="W20" s="31"/>
      <c r="X20" s="30">
        <v>35</v>
      </c>
      <c r="Y20" s="31"/>
      <c r="Z20" s="29">
        <v>35</v>
      </c>
      <c r="AA20" s="29">
        <v>35</v>
      </c>
      <c r="AB20" s="29">
        <v>35</v>
      </c>
      <c r="AC20" s="29">
        <v>35</v>
      </c>
    </row>
    <row r="21" spans="1:35" x14ac:dyDescent="0.25">
      <c r="A21" s="18" t="s">
        <v>24</v>
      </c>
      <c r="B21">
        <v>36</v>
      </c>
      <c r="C21">
        <v>36</v>
      </c>
      <c r="D21">
        <v>36</v>
      </c>
      <c r="E21">
        <v>36</v>
      </c>
      <c r="F21">
        <v>36</v>
      </c>
      <c r="G21">
        <v>36</v>
      </c>
      <c r="H21">
        <v>36</v>
      </c>
      <c r="I21">
        <v>36</v>
      </c>
      <c r="J21">
        <v>36</v>
      </c>
      <c r="K21">
        <v>36</v>
      </c>
      <c r="L21">
        <v>36</v>
      </c>
      <c r="M21">
        <v>36</v>
      </c>
      <c r="N21">
        <v>36</v>
      </c>
      <c r="O21">
        <v>36</v>
      </c>
    </row>
    <row r="22" spans="1:35" x14ac:dyDescent="0.25">
      <c r="A22" s="18" t="s">
        <v>25</v>
      </c>
      <c r="B22">
        <v>30</v>
      </c>
      <c r="C22">
        <v>30</v>
      </c>
      <c r="D22">
        <v>30</v>
      </c>
      <c r="E22">
        <v>30</v>
      </c>
      <c r="F22">
        <v>30</v>
      </c>
      <c r="G22">
        <v>30</v>
      </c>
      <c r="H22">
        <v>30</v>
      </c>
      <c r="I22">
        <v>30</v>
      </c>
      <c r="J22">
        <v>30</v>
      </c>
      <c r="K22">
        <v>30</v>
      </c>
      <c r="L22">
        <v>30</v>
      </c>
      <c r="M22">
        <v>30</v>
      </c>
      <c r="N22">
        <v>30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30</v>
      </c>
      <c r="U22">
        <v>30</v>
      </c>
    </row>
    <row r="25" spans="1:35" x14ac:dyDescent="0.25">
      <c r="A25" s="18"/>
    </row>
    <row r="28" spans="1:35" ht="18.75" x14ac:dyDescent="0.25">
      <c r="A28" s="1" t="s">
        <v>0</v>
      </c>
      <c r="B28" s="2" t="s">
        <v>20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4"/>
    </row>
    <row r="29" spans="1:35" x14ac:dyDescent="0.25">
      <c r="A29" s="1"/>
      <c r="B29" s="5">
        <v>1</v>
      </c>
      <c r="C29" s="5"/>
      <c r="D29" s="5">
        <v>2</v>
      </c>
      <c r="E29" s="5"/>
      <c r="F29" s="5">
        <v>3</v>
      </c>
      <c r="G29" s="5"/>
      <c r="H29" s="5">
        <v>4</v>
      </c>
      <c r="I29" s="5"/>
      <c r="J29" s="5">
        <v>5</v>
      </c>
      <c r="K29" s="5"/>
      <c r="L29" s="5">
        <v>6</v>
      </c>
      <c r="M29" s="5"/>
      <c r="N29" s="5">
        <v>7</v>
      </c>
      <c r="O29" s="5"/>
      <c r="P29" s="5">
        <v>8</v>
      </c>
      <c r="Q29" s="5"/>
      <c r="R29" s="5">
        <v>9</v>
      </c>
      <c r="S29" s="5"/>
      <c r="T29" s="5">
        <v>10</v>
      </c>
      <c r="U29" s="5"/>
      <c r="V29" s="5">
        <v>11</v>
      </c>
      <c r="W29" s="5"/>
      <c r="X29" s="5">
        <v>12</v>
      </c>
      <c r="Y29" s="5"/>
      <c r="Z29" s="5">
        <v>13</v>
      </c>
      <c r="AA29" s="5"/>
      <c r="AB29" s="5">
        <v>14</v>
      </c>
      <c r="AC29" s="5"/>
      <c r="AD29" s="6">
        <v>15</v>
      </c>
      <c r="AE29" s="6">
        <v>16</v>
      </c>
      <c r="AF29" s="6">
        <v>17</v>
      </c>
      <c r="AG29" s="6">
        <v>18</v>
      </c>
      <c r="AH29" s="6">
        <v>19</v>
      </c>
      <c r="AI29" s="6">
        <v>20</v>
      </c>
    </row>
    <row r="30" spans="1:35" x14ac:dyDescent="0.25">
      <c r="A30" s="1"/>
      <c r="B30" s="7" t="s">
        <v>2</v>
      </c>
      <c r="C30" s="8" t="s">
        <v>3</v>
      </c>
      <c r="D30" s="7" t="str">
        <f>LEFT(B30,LEN(B30)-1)+1&amp;"А"</f>
        <v>2А</v>
      </c>
      <c r="E30" s="8" t="str">
        <f>LEFT(C30,LEN(C30)-1)+1&amp;"Б"</f>
        <v>2Б</v>
      </c>
      <c r="F30" s="7" t="str">
        <f t="shared" ref="F30" si="24">LEFT(D30,LEN(D30)-1)+1&amp;"А"</f>
        <v>3А</v>
      </c>
      <c r="G30" s="8" t="str">
        <f t="shared" ref="G30" si="25">LEFT(E30,LEN(E30)-1)+1&amp;"Б"</f>
        <v>3Б</v>
      </c>
      <c r="H30" s="7" t="str">
        <f t="shared" ref="H30" si="26">LEFT(F30,LEN(F30)-1)+1&amp;"А"</f>
        <v>4А</v>
      </c>
      <c r="I30" s="8" t="str">
        <f t="shared" ref="I30" si="27">LEFT(G30,LEN(G30)-1)+1&amp;"Б"</f>
        <v>4Б</v>
      </c>
      <c r="J30" s="7" t="str">
        <f t="shared" ref="J30" si="28">LEFT(H30,LEN(H30)-1)+1&amp;"А"</f>
        <v>5А</v>
      </c>
      <c r="K30" s="8" t="str">
        <f t="shared" ref="K30" si="29">LEFT(I30,LEN(I30)-1)+1&amp;"Б"</f>
        <v>5Б</v>
      </c>
      <c r="L30" s="7" t="str">
        <f t="shared" ref="L30" si="30">LEFT(J30,LEN(J30)-1)+1&amp;"А"</f>
        <v>6А</v>
      </c>
      <c r="M30" s="8" t="str">
        <f t="shared" ref="M30" si="31">LEFT(K30,LEN(K30)-1)+1&amp;"Б"</f>
        <v>6Б</v>
      </c>
      <c r="N30" s="7" t="str">
        <f t="shared" ref="N30" si="32">LEFT(L30,LEN(L30)-1)+1&amp;"А"</f>
        <v>7А</v>
      </c>
      <c r="O30" s="8" t="str">
        <f t="shared" ref="O30" si="33">LEFT(M30,LEN(M30)-1)+1&amp;"Б"</f>
        <v>7Б</v>
      </c>
      <c r="P30" s="7" t="str">
        <f t="shared" ref="P30" si="34">LEFT(N30,LEN(N30)-1)+1&amp;"А"</f>
        <v>8А</v>
      </c>
      <c r="Q30" s="8" t="str">
        <f t="shared" ref="Q30" si="35">LEFT(O30,LEN(O30)-1)+1&amp;"Б"</f>
        <v>8Б</v>
      </c>
      <c r="R30" s="7" t="str">
        <f t="shared" ref="R30" si="36">LEFT(P30,LEN(P30)-1)+1&amp;"А"</f>
        <v>9А</v>
      </c>
      <c r="S30" s="8" t="str">
        <f t="shared" ref="S30" si="37">LEFT(Q30,LEN(Q30)-1)+1&amp;"Б"</f>
        <v>9Б</v>
      </c>
      <c r="T30" s="7" t="str">
        <f t="shared" ref="T30" si="38">LEFT(R30,LEN(R30)-1)+1&amp;"А"</f>
        <v>10А</v>
      </c>
      <c r="U30" s="8" t="str">
        <f t="shared" ref="U30" si="39">LEFT(S30,LEN(S30)-1)+1&amp;"Б"</f>
        <v>10Б</v>
      </c>
      <c r="V30" s="7" t="str">
        <f t="shared" ref="V30" si="40">LEFT(T30,LEN(T30)-1)+1&amp;"А"</f>
        <v>11А</v>
      </c>
      <c r="W30" s="8" t="str">
        <f t="shared" ref="W30" si="41">LEFT(U30,LEN(U30)-1)+1&amp;"Б"</f>
        <v>11Б</v>
      </c>
      <c r="X30" s="7" t="str">
        <f t="shared" ref="X30" si="42">LEFT(V30,LEN(V30)-1)+1&amp;"А"</f>
        <v>12А</v>
      </c>
      <c r="Y30" s="8" t="str">
        <f t="shared" ref="Y30" si="43">LEFT(W30,LEN(W30)-1)+1&amp;"Б"</f>
        <v>12Б</v>
      </c>
      <c r="Z30" s="7" t="str">
        <f t="shared" ref="Z30" si="44">LEFT(X30,LEN(X30)-1)+1&amp;"А"</f>
        <v>13А</v>
      </c>
      <c r="AA30" s="8" t="str">
        <f t="shared" ref="AA30" si="45">LEFT(Y30,LEN(Y30)-1)+1&amp;"Б"</f>
        <v>13Б</v>
      </c>
      <c r="AB30" s="7" t="str">
        <f t="shared" ref="AB30" si="46">LEFT(Z30,LEN(Z30)-1)+1&amp;"А"</f>
        <v>14А</v>
      </c>
      <c r="AC30" s="8" t="str">
        <f t="shared" ref="AC30" si="47">LEFT(AA30,LEN(AA30)-1)+1&amp;"Б"</f>
        <v>14Б</v>
      </c>
      <c r="AD30" s="9"/>
      <c r="AE30" s="9"/>
      <c r="AF30" s="9"/>
      <c r="AG30" s="9"/>
      <c r="AH30" s="9"/>
      <c r="AI30" s="9"/>
    </row>
    <row r="31" spans="1:35" x14ac:dyDescent="0.25">
      <c r="A31" s="10" t="s">
        <v>4</v>
      </c>
      <c r="B31" s="16">
        <v>4.9000000000000002E-2</v>
      </c>
      <c r="C31" s="11"/>
      <c r="D31" s="12"/>
      <c r="E31" s="12"/>
      <c r="F31" s="12"/>
      <c r="G31" s="12"/>
      <c r="H31" s="12"/>
      <c r="I31" s="12"/>
      <c r="J31" s="16">
        <v>4.8000000000000001E-2</v>
      </c>
      <c r="K31" s="11"/>
      <c r="L31" s="16">
        <v>4.3999999999999997E-2</v>
      </c>
      <c r="M31" s="11"/>
      <c r="N31" s="16">
        <v>4.3999999999999997E-2</v>
      </c>
      <c r="O31" s="11"/>
      <c r="P31" s="16">
        <v>4.8000000000000001E-2</v>
      </c>
      <c r="Q31" s="11"/>
      <c r="R31" s="16">
        <v>4.8000000000000001E-2</v>
      </c>
      <c r="S31" s="11"/>
      <c r="T31" s="16">
        <v>4.7E-2</v>
      </c>
      <c r="U31" s="11"/>
      <c r="V31" s="16">
        <v>4.7E-2</v>
      </c>
      <c r="W31" s="11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 x14ac:dyDescent="0.25">
      <c r="A32" s="10" t="s">
        <v>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6">
        <v>0.06</v>
      </c>
      <c r="Q32" s="11"/>
      <c r="R32" s="16">
        <v>0.06</v>
      </c>
      <c r="S32" s="11"/>
      <c r="T32" s="16">
        <v>0.06</v>
      </c>
      <c r="U32" s="11"/>
      <c r="V32" s="16">
        <v>0.06</v>
      </c>
      <c r="W32" s="11"/>
      <c r="X32" s="16">
        <v>0.06</v>
      </c>
      <c r="Y32" s="11"/>
      <c r="Z32" s="16">
        <v>0.06</v>
      </c>
      <c r="AA32" s="11"/>
      <c r="AB32" s="16">
        <v>0.06</v>
      </c>
      <c r="AC32" s="11"/>
      <c r="AD32" s="17">
        <v>0.06</v>
      </c>
      <c r="AE32" s="17">
        <v>0.06</v>
      </c>
      <c r="AF32" s="14"/>
      <c r="AG32" s="12"/>
      <c r="AH32" s="12"/>
      <c r="AI32" s="12"/>
    </row>
    <row r="33" spans="1:35" x14ac:dyDescent="0.25">
      <c r="A33" s="10" t="s">
        <v>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6">
        <v>5.1900000000000002E-2</v>
      </c>
      <c r="M33" s="11"/>
      <c r="N33" s="16">
        <v>5.1900000000000002E-2</v>
      </c>
      <c r="O33" s="11"/>
      <c r="P33" s="12"/>
      <c r="Q33" s="12"/>
      <c r="R33" s="16">
        <v>4.6100000000000002E-2</v>
      </c>
      <c r="S33" s="11"/>
      <c r="T33" s="16">
        <v>5.2999999999999999E-2</v>
      </c>
      <c r="U33" s="11"/>
      <c r="V33" s="16">
        <v>5.2999999999999999E-2</v>
      </c>
      <c r="W33" s="11"/>
      <c r="X33" s="16">
        <v>5.2999999999999999E-2</v>
      </c>
      <c r="Y33" s="11"/>
      <c r="Z33" s="16">
        <v>5.1900000000000002E-2</v>
      </c>
      <c r="AA33" s="11"/>
      <c r="AB33" s="16">
        <v>5.1900000000000002E-2</v>
      </c>
      <c r="AC33" s="11"/>
      <c r="AD33" s="17">
        <v>5.1900000000000002E-2</v>
      </c>
      <c r="AE33" s="17">
        <v>5.1900000000000002E-2</v>
      </c>
      <c r="AF33" s="17">
        <v>5.1900000000000002E-2</v>
      </c>
      <c r="AG33" s="17">
        <v>5.1900000000000002E-2</v>
      </c>
      <c r="AH33" s="12"/>
      <c r="AI33" s="12"/>
    </row>
    <row r="34" spans="1:35" x14ac:dyDescent="0.25">
      <c r="A34" s="10" t="s">
        <v>7</v>
      </c>
      <c r="B34" s="19">
        <v>4.8399999999999999E-2</v>
      </c>
      <c r="C34" s="20"/>
      <c r="D34" s="19">
        <v>4.8399999999999999E-2</v>
      </c>
      <c r="E34" s="20"/>
      <c r="F34" s="19">
        <v>4.8399999999999999E-2</v>
      </c>
      <c r="G34" s="20"/>
      <c r="H34" s="19">
        <v>4.8399999999999999E-2</v>
      </c>
      <c r="I34" s="20"/>
      <c r="J34" s="19">
        <v>4.8399999999999999E-2</v>
      </c>
      <c r="K34" s="2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x14ac:dyDescent="0.25">
      <c r="A35" s="10" t="s">
        <v>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9">
        <v>5.6000000000000001E-2</v>
      </c>
      <c r="O35" s="20"/>
      <c r="P35" s="12"/>
      <c r="Q35" s="12"/>
      <c r="R35" s="12"/>
      <c r="S35" s="12"/>
      <c r="T35" s="19">
        <v>5.6000000000000001E-2</v>
      </c>
      <c r="U35" s="20"/>
      <c r="V35" s="19">
        <v>5.6000000000000001E-2</v>
      </c>
      <c r="W35" s="20"/>
      <c r="X35" s="19">
        <v>5.6000000000000001E-2</v>
      </c>
      <c r="Y35" s="20"/>
      <c r="Z35" s="19">
        <v>5.6000000000000001E-2</v>
      </c>
      <c r="AA35" s="20"/>
      <c r="AB35" s="21">
        <v>0.06</v>
      </c>
      <c r="AC35" s="22"/>
      <c r="AD35" s="17">
        <v>0.06</v>
      </c>
      <c r="AE35" s="17">
        <v>6.0999999999999999E-2</v>
      </c>
      <c r="AF35" s="12"/>
      <c r="AG35" s="12"/>
      <c r="AH35" s="12"/>
      <c r="AI35" s="12"/>
    </row>
    <row r="36" spans="1:35" x14ac:dyDescent="0.25">
      <c r="A36" s="10" t="s">
        <v>9</v>
      </c>
      <c r="B36" s="12"/>
      <c r="C36" s="12"/>
      <c r="D36" s="12"/>
      <c r="E36" s="12"/>
      <c r="F36" s="12"/>
      <c r="G36" s="12"/>
      <c r="H36" s="19">
        <v>5.8000000000000003E-2</v>
      </c>
      <c r="I36" s="20"/>
      <c r="J36" s="19">
        <v>5.8999999999999997E-2</v>
      </c>
      <c r="K36" s="20"/>
      <c r="L36" s="19">
        <v>6.0999999999999999E-2</v>
      </c>
      <c r="M36" s="20"/>
      <c r="N36" s="19">
        <v>6.0999999999999999E-2</v>
      </c>
      <c r="O36" s="20"/>
      <c r="P36" s="19">
        <v>6.3E-2</v>
      </c>
      <c r="Q36" s="20"/>
      <c r="R36" s="19">
        <v>6.3E-2</v>
      </c>
      <c r="S36" s="20"/>
      <c r="T36" s="19">
        <v>6.3E-2</v>
      </c>
      <c r="U36" s="20"/>
      <c r="V36" s="19">
        <v>6.3E-2</v>
      </c>
      <c r="W36" s="20"/>
      <c r="X36" s="19">
        <v>6.3E-2</v>
      </c>
      <c r="Y36" s="20"/>
      <c r="Z36" s="19">
        <v>6.3E-2</v>
      </c>
      <c r="AA36" s="20"/>
      <c r="AB36" s="19">
        <v>6.3E-2</v>
      </c>
      <c r="AC36" s="20"/>
      <c r="AD36" s="12"/>
      <c r="AE36" s="12"/>
      <c r="AF36" s="17">
        <v>7.0999999999999994E-2</v>
      </c>
      <c r="AG36" s="17">
        <v>5.8000000000000003E-2</v>
      </c>
      <c r="AH36" s="17">
        <v>0.06</v>
      </c>
      <c r="AI36" s="17">
        <v>0.06</v>
      </c>
    </row>
    <row r="37" spans="1:35" x14ac:dyDescent="0.25">
      <c r="A37" s="10" t="s">
        <v>10</v>
      </c>
      <c r="B37" s="19">
        <v>5.0200000000000002E-2</v>
      </c>
      <c r="C37" s="20"/>
      <c r="D37" s="19">
        <v>5.0200000000000002E-2</v>
      </c>
      <c r="E37" s="20"/>
      <c r="F37" s="19">
        <v>5.0200000000000002E-2</v>
      </c>
      <c r="G37" s="20"/>
      <c r="H37" s="19">
        <v>5.0200000000000002E-2</v>
      </c>
      <c r="I37" s="20"/>
      <c r="J37" s="19">
        <v>5.0200000000000002E-2</v>
      </c>
      <c r="K37" s="20"/>
      <c r="L37" s="19">
        <v>5.0200000000000002E-2</v>
      </c>
      <c r="M37" s="20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x14ac:dyDescent="0.25">
      <c r="A38" s="10" t="s">
        <v>11</v>
      </c>
      <c r="B38" s="19">
        <v>5.2600000000000001E-2</v>
      </c>
      <c r="C38" s="20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 x14ac:dyDescent="0.25">
      <c r="A39" s="10" t="s">
        <v>12</v>
      </c>
      <c r="B39" s="19">
        <v>5.8400000000000001E-2</v>
      </c>
      <c r="C39" s="20"/>
      <c r="D39" s="19">
        <v>5.8400000000000001E-2</v>
      </c>
      <c r="E39" s="20"/>
      <c r="F39" s="19">
        <v>5.6399999999999999E-2</v>
      </c>
      <c r="G39" s="20"/>
      <c r="H39" s="19">
        <v>5.6399999999999999E-2</v>
      </c>
      <c r="I39" s="20"/>
      <c r="J39" s="19">
        <v>5.6399999999999999E-2</v>
      </c>
      <c r="K39" s="20"/>
      <c r="L39" s="19">
        <v>5.9400000000000001E-2</v>
      </c>
      <c r="M39" s="20"/>
      <c r="N39" s="19">
        <v>5.9400000000000001E-2</v>
      </c>
      <c r="O39" s="20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 x14ac:dyDescent="0.25">
      <c r="A40" s="10" t="s">
        <v>13</v>
      </c>
      <c r="B40" s="19">
        <v>5.4399999999999997E-2</v>
      </c>
      <c r="C40" s="20"/>
      <c r="D40" s="19">
        <v>5.4399999999999997E-2</v>
      </c>
      <c r="E40" s="20"/>
      <c r="F40" s="19">
        <v>5.3600000000000002E-2</v>
      </c>
      <c r="G40" s="20"/>
      <c r="H40" s="19">
        <v>4.8099999999999997E-2</v>
      </c>
      <c r="I40" s="20"/>
      <c r="J40" s="19">
        <v>5.6300000000000003E-2</v>
      </c>
      <c r="K40" s="2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x14ac:dyDescent="0.25">
      <c r="A41" s="10" t="s">
        <v>14</v>
      </c>
      <c r="B41" s="19">
        <v>5.0500000000000003E-2</v>
      </c>
      <c r="C41" s="20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 x14ac:dyDescent="0.25">
      <c r="A42" s="10" t="s">
        <v>15</v>
      </c>
      <c r="B42" s="12"/>
      <c r="C42" s="12"/>
      <c r="D42" s="12"/>
      <c r="E42" s="12"/>
      <c r="F42" s="12"/>
      <c r="G42" s="12"/>
      <c r="H42" s="19">
        <v>8.7999999999999995E-2</v>
      </c>
      <c r="I42" s="20"/>
      <c r="J42" s="19">
        <v>8.7999999999999995E-2</v>
      </c>
      <c r="K42" s="20"/>
      <c r="L42" s="19">
        <v>8.7999999999999995E-2</v>
      </c>
      <c r="M42" s="20"/>
      <c r="N42" s="19">
        <v>9.2999999999999999E-2</v>
      </c>
      <c r="O42" s="20"/>
      <c r="P42" s="19">
        <v>9.1999999999999998E-2</v>
      </c>
      <c r="Q42" s="20"/>
      <c r="R42" s="19">
        <v>9.0999999999999998E-2</v>
      </c>
      <c r="S42" s="20"/>
      <c r="T42" s="19">
        <v>9.0999999999999998E-2</v>
      </c>
      <c r="U42" s="20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 x14ac:dyDescent="0.25">
      <c r="A43" s="10" t="s">
        <v>16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9">
        <v>5.1999999999999998E-2</v>
      </c>
      <c r="O43" s="20"/>
      <c r="P43" s="19">
        <v>5.1999999999999998E-2</v>
      </c>
      <c r="Q43" s="20"/>
      <c r="R43" s="19">
        <v>5.1999999999999998E-2</v>
      </c>
      <c r="S43" s="20"/>
      <c r="T43" s="19">
        <v>5.1999999999999998E-2</v>
      </c>
      <c r="U43" s="20"/>
      <c r="V43" s="19">
        <v>5.1999999999999998E-2</v>
      </c>
      <c r="W43" s="20"/>
      <c r="X43" s="19">
        <v>5.1999999999999998E-2</v>
      </c>
      <c r="Y43" s="20"/>
      <c r="Z43" s="19">
        <v>5.1999999999999998E-2</v>
      </c>
      <c r="AA43" s="20"/>
      <c r="AB43" s="19">
        <v>5.1999999999999998E-2</v>
      </c>
      <c r="AC43" s="20"/>
      <c r="AD43" s="12"/>
      <c r="AE43" s="12"/>
      <c r="AF43" s="12"/>
      <c r="AG43" s="12"/>
      <c r="AH43" s="12"/>
      <c r="AI43" s="12"/>
    </row>
    <row r="44" spans="1:35" x14ac:dyDescent="0.25">
      <c r="A44" s="10" t="s">
        <v>17</v>
      </c>
      <c r="B44" s="12"/>
      <c r="C44" s="12"/>
      <c r="D44" s="12"/>
      <c r="E44" s="12"/>
      <c r="F44" s="12"/>
      <c r="G44" s="12"/>
      <c r="H44" s="12"/>
      <c r="I44" s="12"/>
      <c r="J44" s="19">
        <v>4.8000000000000001E-2</v>
      </c>
      <c r="K44" s="20"/>
      <c r="L44" s="19">
        <v>4.8000000000000001E-2</v>
      </c>
      <c r="M44" s="20"/>
      <c r="N44" s="19">
        <v>4.8000000000000001E-2</v>
      </c>
      <c r="O44" s="20"/>
      <c r="P44" s="19">
        <v>4.8000000000000001E-2</v>
      </c>
      <c r="Q44" s="20"/>
      <c r="R44" s="19">
        <v>5.1999999999999998E-2</v>
      </c>
      <c r="S44" s="20"/>
      <c r="T44" s="19">
        <v>5.1999999999999998E-2</v>
      </c>
      <c r="U44" s="20"/>
      <c r="V44" s="19">
        <v>5.1999999999999998E-2</v>
      </c>
      <c r="W44" s="20"/>
      <c r="X44" s="19">
        <v>5.1999999999999998E-2</v>
      </c>
      <c r="Y44" s="20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 x14ac:dyDescent="0.25">
      <c r="A45" s="10" t="s">
        <v>18</v>
      </c>
      <c r="B45" s="19">
        <v>5.0999999999999997E-2</v>
      </c>
      <c r="C45" s="20"/>
      <c r="D45" s="19">
        <v>5.0999999999999997E-2</v>
      </c>
      <c r="E45" s="20"/>
      <c r="F45" s="19">
        <v>5.0999999999999997E-2</v>
      </c>
      <c r="G45" s="20"/>
      <c r="H45" s="19">
        <v>5.0999999999999997E-2</v>
      </c>
      <c r="I45" s="20"/>
      <c r="J45" s="19">
        <v>5.0999999999999997E-2</v>
      </c>
      <c r="K45" s="20"/>
      <c r="L45" s="19">
        <v>5.1999999999999998E-2</v>
      </c>
      <c r="M45" s="20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 x14ac:dyDescent="0.25">
      <c r="A46" s="10" t="s">
        <v>19</v>
      </c>
      <c r="B46" s="19">
        <v>5.5800000000000002E-2</v>
      </c>
      <c r="C46" s="20"/>
      <c r="D46" s="19">
        <v>5.5800000000000002E-2</v>
      </c>
      <c r="E46" s="20"/>
      <c r="F46" s="19">
        <v>5.5800000000000002E-2</v>
      </c>
      <c r="G46" s="20"/>
      <c r="H46" s="19">
        <v>5.5800000000000002E-2</v>
      </c>
      <c r="I46" s="20"/>
      <c r="J46" s="19">
        <v>4.7E-2</v>
      </c>
      <c r="K46" s="2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 x14ac:dyDescent="0.25">
      <c r="A47" s="18" t="s">
        <v>21</v>
      </c>
      <c r="B47" s="23">
        <v>5.7000000000000002E-2</v>
      </c>
      <c r="C47" s="23">
        <v>5.7000000000000002E-2</v>
      </c>
      <c r="D47" s="23">
        <v>5.7000000000000002E-2</v>
      </c>
      <c r="E47" s="23">
        <v>5.7000000000000002E-2</v>
      </c>
      <c r="F47" s="23">
        <v>5.7000000000000002E-2</v>
      </c>
      <c r="G47" s="23">
        <v>5.7000000000000002E-2</v>
      </c>
      <c r="H47" s="23">
        <v>5.5E-2</v>
      </c>
      <c r="I47" s="23">
        <v>5.5E-2</v>
      </c>
      <c r="J47" s="23">
        <v>5.1999999999999998E-2</v>
      </c>
      <c r="K47" s="23">
        <v>5.1999999999999998E-2</v>
      </c>
      <c r="L47" s="23">
        <v>5.7000000000000002E-2</v>
      </c>
      <c r="M47" s="23">
        <v>5.7000000000000002E-2</v>
      </c>
      <c r="N47" s="26">
        <v>5.3999999999999999E-2</v>
      </c>
      <c r="O47" s="27"/>
      <c r="P47" s="26">
        <v>5.6000000000000001E-2</v>
      </c>
      <c r="Q47" s="27"/>
      <c r="R47" s="24">
        <v>0.05</v>
      </c>
      <c r="S47" s="28"/>
      <c r="T47" s="24">
        <v>0.05</v>
      </c>
      <c r="U47" s="25"/>
    </row>
    <row r="48" spans="1:35" x14ac:dyDescent="0.25">
      <c r="A48" s="18" t="s">
        <v>22</v>
      </c>
      <c r="B48" s="26">
        <v>5.0999999999999997E-2</v>
      </c>
      <c r="C48" s="27"/>
      <c r="D48" s="26">
        <v>5.0999999999999997E-2</v>
      </c>
      <c r="E48" s="27"/>
      <c r="F48" s="26">
        <v>5.0999999999999997E-2</v>
      </c>
      <c r="G48" s="27"/>
      <c r="H48" s="26">
        <v>5.0999999999999997E-2</v>
      </c>
      <c r="I48" s="27"/>
      <c r="J48" s="26">
        <v>5.0999999999999997E-2</v>
      </c>
      <c r="K48" s="27"/>
      <c r="L48" s="26">
        <v>5.0999999999999997E-2</v>
      </c>
      <c r="M48" s="27"/>
      <c r="N48" s="32">
        <v>5.7000000000000002E-2</v>
      </c>
      <c r="O48" s="33"/>
      <c r="P48" s="32">
        <v>5.7000000000000002E-2</v>
      </c>
      <c r="Q48" s="33"/>
      <c r="R48" s="32">
        <v>5.7000000000000002E-2</v>
      </c>
      <c r="S48" s="33"/>
      <c r="T48" s="32">
        <v>5.7000000000000002E-2</v>
      </c>
      <c r="U48" s="33"/>
      <c r="V48" s="32">
        <v>5.2999999999999999E-2</v>
      </c>
      <c r="W48" s="33"/>
      <c r="X48" s="32">
        <v>5.2999999999999999E-2</v>
      </c>
      <c r="Y48" s="33"/>
      <c r="Z48" s="23">
        <v>5.2999999999999999E-2</v>
      </c>
      <c r="AA48" s="23">
        <v>5.2999999999999999E-2</v>
      </c>
      <c r="AB48" s="23">
        <v>5.2999999999999999E-2</v>
      </c>
      <c r="AC48" s="23">
        <v>5.2999999999999999E-2</v>
      </c>
    </row>
    <row r="49" spans="1:19" x14ac:dyDescent="0.25">
      <c r="A49" s="18" t="s">
        <v>23</v>
      </c>
      <c r="B49" s="23">
        <v>5.4172860360360363E-2</v>
      </c>
      <c r="C49" s="23">
        <v>5.4172860360360363E-2</v>
      </c>
      <c r="D49" s="23">
        <v>5.4172860360360363E-2</v>
      </c>
      <c r="E49" s="23">
        <v>5.4172860360360363E-2</v>
      </c>
      <c r="F49" s="34">
        <v>5.459177927927928E-2</v>
      </c>
      <c r="G49" s="34">
        <v>5.459177927927928E-2</v>
      </c>
      <c r="H49" s="34">
        <v>5.1821982467970332E-2</v>
      </c>
      <c r="I49" s="34">
        <v>5.1821982467970332E-2</v>
      </c>
      <c r="J49" s="34">
        <v>5.459177927927928E-2</v>
      </c>
      <c r="K49" s="34">
        <v>5.459177927927928E-2</v>
      </c>
      <c r="L49" s="34">
        <v>5.1821982467970332E-2</v>
      </c>
      <c r="M49" s="34">
        <v>5.1821982467970332E-2</v>
      </c>
    </row>
    <row r="50" spans="1:19" x14ac:dyDescent="0.25">
      <c r="A50" s="18" t="s">
        <v>24</v>
      </c>
      <c r="B50" s="35">
        <v>5.9003463836716674E-2</v>
      </c>
      <c r="C50" s="35">
        <v>5.7494229526359533E-2</v>
      </c>
      <c r="D50" s="35">
        <v>5.7494229526359533E-2</v>
      </c>
      <c r="E50" s="35">
        <v>5.9003463836716674E-2</v>
      </c>
      <c r="F50" s="35">
        <v>5.7098223353601436E-2</v>
      </c>
      <c r="G50" s="35">
        <v>5.9003463836716674E-2</v>
      </c>
      <c r="H50" s="35">
        <v>5.9003463836716674E-2</v>
      </c>
      <c r="I50" s="35">
        <v>5.7098223353601436E-2</v>
      </c>
      <c r="J50" s="35">
        <v>5.9003463836716674E-2</v>
      </c>
      <c r="K50" s="35">
        <v>5.7098223353601436E-2</v>
      </c>
      <c r="L50" s="35">
        <v>5.9003463836716674E-2</v>
      </c>
      <c r="M50" s="35">
        <v>5.9003463836716674E-2</v>
      </c>
      <c r="N50" s="35">
        <v>4.9674061735197297E-2</v>
      </c>
      <c r="O50" s="35">
        <v>4.3584928394175902E-2</v>
      </c>
    </row>
    <row r="51" spans="1:19" x14ac:dyDescent="0.25">
      <c r="A51" s="18" t="s">
        <v>25</v>
      </c>
      <c r="B51" s="36">
        <v>5.9263151758533583E-2</v>
      </c>
      <c r="C51" s="36">
        <v>5.9263151758533583E-2</v>
      </c>
      <c r="D51" s="36">
        <v>5.9263151758533583E-2</v>
      </c>
      <c r="E51" s="36">
        <v>5.9263151758533583E-2</v>
      </c>
      <c r="F51" s="36">
        <v>5.9263151758533583E-2</v>
      </c>
      <c r="G51" s="36">
        <v>5.9263151758533583E-2</v>
      </c>
      <c r="H51" s="36">
        <v>6.2082393417614692E-2</v>
      </c>
      <c r="I51" s="36">
        <v>6.2082393417614692E-2</v>
      </c>
      <c r="J51" s="36">
        <v>5.9263151758533583E-2</v>
      </c>
      <c r="K51" s="36">
        <v>5.9263151758533583E-2</v>
      </c>
      <c r="L51" s="36">
        <v>5.9263151758533583E-2</v>
      </c>
      <c r="M51" s="36">
        <v>5.9263151758533583E-2</v>
      </c>
      <c r="N51" s="36">
        <v>5.9263151758533583E-2</v>
      </c>
      <c r="O51" s="36">
        <v>5.9263151758533583E-2</v>
      </c>
      <c r="P51" s="36">
        <v>5.1281093024460128E-2</v>
      </c>
      <c r="Q51" s="36">
        <v>5.1281093024460128E-2</v>
      </c>
      <c r="R51" s="36">
        <v>4.8603795895116604E-2</v>
      </c>
      <c r="S51" s="36">
        <v>4.8603795895116604E-2</v>
      </c>
    </row>
    <row r="52" spans="1:19" x14ac:dyDescent="0.25">
      <c r="A52" s="18" t="s">
        <v>26</v>
      </c>
      <c r="B52" s="37">
        <v>5.6000000000000001E-2</v>
      </c>
      <c r="C52" s="37">
        <v>5.6000000000000001E-2</v>
      </c>
      <c r="D52" s="37">
        <v>5.1999999999999998E-2</v>
      </c>
      <c r="E52" s="37">
        <v>5.1999999999999998E-2</v>
      </c>
      <c r="F52" s="37">
        <v>5.1999999999999998E-2</v>
      </c>
      <c r="G52" s="37">
        <v>5.1999999999999998E-2</v>
      </c>
      <c r="H52" s="37">
        <v>5.1999999999999998E-2</v>
      </c>
      <c r="I52" s="37">
        <v>5.1999999999999998E-2</v>
      </c>
      <c r="J52" s="38">
        <v>0.05</v>
      </c>
      <c r="K52" s="39"/>
      <c r="L52" s="38">
        <v>4.9000000000000002E-2</v>
      </c>
      <c r="M52" s="39"/>
      <c r="N52" s="38">
        <v>4.9000000000000002E-2</v>
      </c>
      <c r="O52" s="39"/>
      <c r="P52" s="38">
        <v>0.05</v>
      </c>
      <c r="Q52" s="39"/>
      <c r="R52" s="38">
        <v>0.05</v>
      </c>
      <c r="S52" s="40"/>
    </row>
  </sheetData>
  <mergeCells count="275">
    <mergeCell ref="X48:Y48"/>
    <mergeCell ref="B20:C20"/>
    <mergeCell ref="J52:K52"/>
    <mergeCell ref="L52:M52"/>
    <mergeCell ref="N52:O52"/>
    <mergeCell ref="P52:Q52"/>
    <mergeCell ref="R52:S52"/>
    <mergeCell ref="L48:M48"/>
    <mergeCell ref="N48:O48"/>
    <mergeCell ref="P48:Q48"/>
    <mergeCell ref="R48:S48"/>
    <mergeCell ref="T48:U48"/>
    <mergeCell ref="V48:W48"/>
    <mergeCell ref="L20:M20"/>
    <mergeCell ref="J20:K20"/>
    <mergeCell ref="H20:I20"/>
    <mergeCell ref="F20:G20"/>
    <mergeCell ref="D20:E20"/>
    <mergeCell ref="B48:C48"/>
    <mergeCell ref="D48:E48"/>
    <mergeCell ref="F48:G48"/>
    <mergeCell ref="H48:I48"/>
    <mergeCell ref="J48:K48"/>
    <mergeCell ref="T47:U47"/>
    <mergeCell ref="P47:Q47"/>
    <mergeCell ref="R47:S47"/>
    <mergeCell ref="N47:O47"/>
    <mergeCell ref="X20:Y20"/>
    <mergeCell ref="V20:W20"/>
    <mergeCell ref="T20:U20"/>
    <mergeCell ref="R20:S20"/>
    <mergeCell ref="P20:Q20"/>
    <mergeCell ref="N20:O20"/>
    <mergeCell ref="B46:C46"/>
    <mergeCell ref="D46:E46"/>
    <mergeCell ref="F46:G46"/>
    <mergeCell ref="H46:I46"/>
    <mergeCell ref="J46:K46"/>
    <mergeCell ref="J34:K34"/>
    <mergeCell ref="H34:I34"/>
    <mergeCell ref="F34:G34"/>
    <mergeCell ref="D34:E34"/>
    <mergeCell ref="B34:C34"/>
    <mergeCell ref="V44:W44"/>
    <mergeCell ref="X44:Y44"/>
    <mergeCell ref="B45:C45"/>
    <mergeCell ref="D45:E45"/>
    <mergeCell ref="F45:G45"/>
    <mergeCell ref="H45:I45"/>
    <mergeCell ref="J45:K45"/>
    <mergeCell ref="L45:M45"/>
    <mergeCell ref="V43:W43"/>
    <mergeCell ref="X43:Y43"/>
    <mergeCell ref="Z43:AA43"/>
    <mergeCell ref="AB43:AC43"/>
    <mergeCell ref="J44:K44"/>
    <mergeCell ref="L44:M44"/>
    <mergeCell ref="N44:O44"/>
    <mergeCell ref="P44:Q44"/>
    <mergeCell ref="R44:S44"/>
    <mergeCell ref="T44:U44"/>
    <mergeCell ref="R42:S42"/>
    <mergeCell ref="T42:U42"/>
    <mergeCell ref="N43:O43"/>
    <mergeCell ref="P43:Q43"/>
    <mergeCell ref="R43:S43"/>
    <mergeCell ref="T43:U43"/>
    <mergeCell ref="B41:C41"/>
    <mergeCell ref="H42:I42"/>
    <mergeCell ref="J42:K42"/>
    <mergeCell ref="L42:M42"/>
    <mergeCell ref="N42:O42"/>
    <mergeCell ref="P42:Q42"/>
    <mergeCell ref="N39:O39"/>
    <mergeCell ref="B40:C40"/>
    <mergeCell ref="D40:E40"/>
    <mergeCell ref="F40:G40"/>
    <mergeCell ref="H40:I40"/>
    <mergeCell ref="J40:K40"/>
    <mergeCell ref="L37:M37"/>
    <mergeCell ref="B38:C38"/>
    <mergeCell ref="B39:C39"/>
    <mergeCell ref="D39:E39"/>
    <mergeCell ref="F39:G39"/>
    <mergeCell ref="H39:I39"/>
    <mergeCell ref="J39:K39"/>
    <mergeCell ref="L39:M39"/>
    <mergeCell ref="T36:U36"/>
    <mergeCell ref="V36:W36"/>
    <mergeCell ref="X36:Y36"/>
    <mergeCell ref="Z36:AA36"/>
    <mergeCell ref="AB36:AC36"/>
    <mergeCell ref="B37:C37"/>
    <mergeCell ref="D37:E37"/>
    <mergeCell ref="F37:G37"/>
    <mergeCell ref="H37:I37"/>
    <mergeCell ref="J37:K37"/>
    <mergeCell ref="H36:I36"/>
    <mergeCell ref="J36:K36"/>
    <mergeCell ref="L36:M36"/>
    <mergeCell ref="N36:O36"/>
    <mergeCell ref="P36:Q36"/>
    <mergeCell ref="R36:S36"/>
    <mergeCell ref="N35:O35"/>
    <mergeCell ref="T35:U35"/>
    <mergeCell ref="V35:W35"/>
    <mergeCell ref="X35:Y35"/>
    <mergeCell ref="Z35:AA35"/>
    <mergeCell ref="AB35:AC35"/>
    <mergeCell ref="AB33:AC33"/>
    <mergeCell ref="X32:Y32"/>
    <mergeCell ref="Z32:AA32"/>
    <mergeCell ref="AB32:AC32"/>
    <mergeCell ref="L33:M33"/>
    <mergeCell ref="N33:O33"/>
    <mergeCell ref="R33:S33"/>
    <mergeCell ref="T33:U33"/>
    <mergeCell ref="V33:W33"/>
    <mergeCell ref="X33:Y33"/>
    <mergeCell ref="Z33:AA33"/>
    <mergeCell ref="R31:S31"/>
    <mergeCell ref="T31:U31"/>
    <mergeCell ref="V31:W31"/>
    <mergeCell ref="P32:Q32"/>
    <mergeCell ref="R32:S32"/>
    <mergeCell ref="T32:U32"/>
    <mergeCell ref="V32:W32"/>
    <mergeCell ref="AE29:AE30"/>
    <mergeCell ref="AF29:AF30"/>
    <mergeCell ref="AG29:AG30"/>
    <mergeCell ref="AH29:AH30"/>
    <mergeCell ref="AI29:AI30"/>
    <mergeCell ref="B31:C31"/>
    <mergeCell ref="J31:K31"/>
    <mergeCell ref="L31:M31"/>
    <mergeCell ref="N31:O31"/>
    <mergeCell ref="P31:Q31"/>
    <mergeCell ref="T29:U29"/>
    <mergeCell ref="V29:W29"/>
    <mergeCell ref="X29:Y29"/>
    <mergeCell ref="Z29:AA29"/>
    <mergeCell ref="AB29:AC29"/>
    <mergeCell ref="AD29:AD30"/>
    <mergeCell ref="H29:I29"/>
    <mergeCell ref="J29:K29"/>
    <mergeCell ref="L29:M29"/>
    <mergeCell ref="N29:O29"/>
    <mergeCell ref="P29:Q29"/>
    <mergeCell ref="R29:S29"/>
    <mergeCell ref="B19:C19"/>
    <mergeCell ref="D19:E19"/>
    <mergeCell ref="F19:G19"/>
    <mergeCell ref="H19:I19"/>
    <mergeCell ref="J19:K19"/>
    <mergeCell ref="A28:A30"/>
    <mergeCell ref="B28:AI28"/>
    <mergeCell ref="B29:C29"/>
    <mergeCell ref="D29:E29"/>
    <mergeCell ref="F29:G29"/>
    <mergeCell ref="V17:W17"/>
    <mergeCell ref="X17:Y17"/>
    <mergeCell ref="B18:C18"/>
    <mergeCell ref="D18:E18"/>
    <mergeCell ref="F18:G18"/>
    <mergeCell ref="H18:I18"/>
    <mergeCell ref="J18:K18"/>
    <mergeCell ref="L18:M18"/>
    <mergeCell ref="V16:W16"/>
    <mergeCell ref="X16:Y16"/>
    <mergeCell ref="Z16:AA16"/>
    <mergeCell ref="AB16:AC16"/>
    <mergeCell ref="J17:K17"/>
    <mergeCell ref="L17:M17"/>
    <mergeCell ref="N17:O17"/>
    <mergeCell ref="P17:Q17"/>
    <mergeCell ref="R17:S17"/>
    <mergeCell ref="T17:U17"/>
    <mergeCell ref="R15:S15"/>
    <mergeCell ref="T15:U15"/>
    <mergeCell ref="N16:O16"/>
    <mergeCell ref="P16:Q16"/>
    <mergeCell ref="R16:S16"/>
    <mergeCell ref="T16:U16"/>
    <mergeCell ref="B14:C14"/>
    <mergeCell ref="H15:I15"/>
    <mergeCell ref="J15:K15"/>
    <mergeCell ref="L15:M15"/>
    <mergeCell ref="N15:O15"/>
    <mergeCell ref="P15:Q15"/>
    <mergeCell ref="N12:O12"/>
    <mergeCell ref="B13:C13"/>
    <mergeCell ref="D13:E13"/>
    <mergeCell ref="F13:G13"/>
    <mergeCell ref="H13:I13"/>
    <mergeCell ref="J13:K13"/>
    <mergeCell ref="L10:M10"/>
    <mergeCell ref="B11:C11"/>
    <mergeCell ref="B12:C12"/>
    <mergeCell ref="D12:E12"/>
    <mergeCell ref="F12:G12"/>
    <mergeCell ref="H12:I12"/>
    <mergeCell ref="J12:K12"/>
    <mergeCell ref="L12:M12"/>
    <mergeCell ref="T9:U9"/>
    <mergeCell ref="V9:W9"/>
    <mergeCell ref="X9:Y9"/>
    <mergeCell ref="Z9:AA9"/>
    <mergeCell ref="AB9:AC9"/>
    <mergeCell ref="B10:C10"/>
    <mergeCell ref="D10:E10"/>
    <mergeCell ref="F10:G10"/>
    <mergeCell ref="H10:I10"/>
    <mergeCell ref="J10:K10"/>
    <mergeCell ref="H9:I9"/>
    <mergeCell ref="J9:K9"/>
    <mergeCell ref="L9:M9"/>
    <mergeCell ref="N9:O9"/>
    <mergeCell ref="P9:Q9"/>
    <mergeCell ref="R9:S9"/>
    <mergeCell ref="N8:O8"/>
    <mergeCell ref="T8:U8"/>
    <mergeCell ref="V8:W8"/>
    <mergeCell ref="X8:Y8"/>
    <mergeCell ref="Z8:AA8"/>
    <mergeCell ref="AB8:AC8"/>
    <mergeCell ref="AB6:AC6"/>
    <mergeCell ref="B7:C7"/>
    <mergeCell ref="D7:E7"/>
    <mergeCell ref="F7:G7"/>
    <mergeCell ref="H7:I7"/>
    <mergeCell ref="J7:K7"/>
    <mergeCell ref="X5:Y5"/>
    <mergeCell ref="Z5:AA5"/>
    <mergeCell ref="AB5:AC5"/>
    <mergeCell ref="L6:M6"/>
    <mergeCell ref="N6:O6"/>
    <mergeCell ref="R6:S6"/>
    <mergeCell ref="T6:U6"/>
    <mergeCell ref="V6:W6"/>
    <mergeCell ref="X6:Y6"/>
    <mergeCell ref="Z6:AA6"/>
    <mergeCell ref="T4:U4"/>
    <mergeCell ref="V4:W4"/>
    <mergeCell ref="P5:Q5"/>
    <mergeCell ref="R5:S5"/>
    <mergeCell ref="T5:U5"/>
    <mergeCell ref="V5:W5"/>
    <mergeCell ref="B4:C4"/>
    <mergeCell ref="J4:K4"/>
    <mergeCell ref="L4:M4"/>
    <mergeCell ref="N4:O4"/>
    <mergeCell ref="P4:Q4"/>
    <mergeCell ref="R4:S4"/>
    <mergeCell ref="AD2:AD3"/>
    <mergeCell ref="AE2:AE3"/>
    <mergeCell ref="AF2:AF3"/>
    <mergeCell ref="AG2:AG3"/>
    <mergeCell ref="AH2:AH3"/>
    <mergeCell ref="AI2:AI3"/>
    <mergeCell ref="R2:S2"/>
    <mergeCell ref="T2:U2"/>
    <mergeCell ref="V2:W2"/>
    <mergeCell ref="X2:Y2"/>
    <mergeCell ref="Z2:AA2"/>
    <mergeCell ref="AB2:AC2"/>
    <mergeCell ref="A1:A3"/>
    <mergeCell ref="B1:AI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 Дмитрий Николаевич \ Dmitrii Kozlov</dc:creator>
  <cp:lastModifiedBy>Козлов Дмитрий Николаевич \ Dmitrii Kozlov</cp:lastModifiedBy>
  <dcterms:created xsi:type="dcterms:W3CDTF">2026-02-26T11:39:42Z</dcterms:created>
  <dcterms:modified xsi:type="dcterms:W3CDTF">2026-02-26T15:18:08Z</dcterms:modified>
</cp:coreProperties>
</file>
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codeName="ЭтаКнига"/>
  <mc:AlternateContent xmlns:mc="http://schemas.openxmlformats.org/markup-compatibility/2006">
    <mc:Choice Requires="x15">
      <x15ac:absPath xmlns:x15ac="http://schemas.microsoft.com/office/spreadsheetml/2010/11/ac" url="C:\Users\IakubovichAI\Downloads\конфиг альтаир\"/>
    </mc:Choice>
  </mc:AlternateContent>
  <xr:revisionPtr revIDLastSave="0" documentId="13_ncr:1_{49059AF1-DC80-4CAA-8B08-7CFDEC081986}" xr6:coauthVersionLast="47" xr6:coauthVersionMax="47" xr10:uidLastSave="{00000000-0000-0000-0000-000000000000}"/>
  <bookViews>
    <workbookView xWindow="-110" yWindow="-110" windowWidth="19420" windowHeight="10300" firstSheet="3" activeTab="4" xr2:uid="{00000000-000D-0000-FFFF-FFFF00000000}"/>
  </bookViews>
  <sheets>
    <sheet name="Инструкция" sheetId="1" r:id="rId1"/>
    <sheet name="01 НазГРЭС" sheetId="2" r:id="rId2"/>
    <sheet name="02 КрТЭЦ-2" sheetId="3" r:id="rId3"/>
    <sheet name="03 НкТЭЦ" sheetId="4" r:id="rId4"/>
    <sheet name="04 КрТЭЦ-1" sheetId="5" r:id="rId5"/>
    <sheet name="05 КемГРЭС" sheetId="6" r:id="rId6"/>
    <sheet name="06 БарТЭЦ-2" sheetId="7" r:id="rId7"/>
    <sheet name="07 БарТЭЦ-3" sheetId="8" r:id="rId8"/>
    <sheet name="08 АбТЭЦ" sheetId="9" r:id="rId9"/>
    <sheet name="09 ТуГРЭС" sheetId="10" r:id="rId10"/>
    <sheet name="10 МинТЭЦ" sheetId="11" r:id="rId11"/>
    <sheet name="12 КрТЭЦ-3" sheetId="12" r:id="rId12"/>
    <sheet name="13 КанТЭЦ" sheetId="13" r:id="rId13"/>
    <sheet name="14 КемТЭЦ" sheetId="14" r:id="rId14"/>
    <sheet name="15 БелГРЭС" sheetId="15" r:id="rId15"/>
    <sheet name="17 НТЭЦ-2" sheetId="16" r:id="rId16"/>
    <sheet name="18 НТЭЦ-3" sheetId="17" r:id="rId17"/>
    <sheet name="19 НТЭЦ-4" sheetId="18" r:id="rId18"/>
    <sheet name="20 НТЭЦ-5" sheetId="19" r:id="rId19"/>
    <sheet name="21 БбТЭЦ" sheetId="20" r:id="rId20"/>
    <sheet name="22 БиТЭЦ" sheetId="21" r:id="rId21"/>
    <sheet name="24 КрГРЭС-2" sheetId="22" r:id="rId22"/>
    <sheet name="25 РефГРЭС" sheetId="23" r:id="rId23"/>
    <sheet name="26 ПрГРЭС" sheetId="24" r:id="rId2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5" i="5" l="1"/>
  <c r="J15" i="5" s="1"/>
  <c r="I14" i="5"/>
  <c r="J14" i="5" s="1"/>
  <c r="I13" i="5"/>
  <c r="J13" i="5" s="1"/>
  <c r="I12" i="5"/>
  <c r="J12" i="5" s="1"/>
  <c r="J11" i="5"/>
  <c r="I10" i="5"/>
  <c r="J10" i="5" s="1"/>
  <c r="J9" i="5"/>
  <c r="I9" i="5"/>
  <c r="J8" i="5"/>
  <c r="I8" i="5"/>
  <c r="I7" i="5"/>
  <c r="J7" i="5" s="1"/>
  <c r="J6" i="5"/>
  <c r="I5" i="5"/>
  <c r="J5" i="5" s="1"/>
  <c r="I4" i="5"/>
  <c r="J4" i="5" s="1"/>
  <c r="I3" i="5"/>
  <c r="J3" i="5" s="1"/>
  <c r="J11" i="4"/>
  <c r="I11" i="4"/>
  <c r="I10" i="4"/>
  <c r="J10" i="4" s="1"/>
  <c r="J9" i="4"/>
  <c r="J8" i="4"/>
  <c r="J7" i="4"/>
  <c r="J6" i="4"/>
  <c r="J5" i="4"/>
  <c r="I4" i="4"/>
  <c r="J4" i="4" s="1"/>
  <c r="I3" i="4"/>
  <c r="J3" i="4" s="1"/>
  <c r="J8" i="3"/>
  <c r="J7" i="3"/>
  <c r="J6" i="3"/>
  <c r="J5" i="3"/>
  <c r="J4" i="3"/>
  <c r="J3" i="3"/>
  <c r="I16" i="2"/>
  <c r="J16" i="2" s="1"/>
  <c r="I15" i="2"/>
  <c r="J15" i="2" s="1"/>
  <c r="I14" i="2"/>
  <c r="J14" i="2" s="1"/>
  <c r="I13" i="2"/>
  <c r="J13" i="2" s="1"/>
  <c r="J12" i="2"/>
  <c r="I11" i="2"/>
  <c r="J11" i="2" s="1"/>
  <c r="J10" i="2"/>
  <c r="I9" i="2"/>
  <c r="J9" i="2" s="1"/>
  <c r="I8" i="2"/>
  <c r="J8" i="2" s="1"/>
  <c r="I7" i="2"/>
  <c r="J7" i="2" s="1"/>
  <c r="I6" i="2"/>
  <c r="J6" i="2" s="1"/>
  <c r="J5" i="2"/>
  <c r="I5" i="2"/>
  <c r="I4" i="2"/>
  <c r="J4" i="2" s="1"/>
  <c r="I3" i="2"/>
  <c r="J3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Петраков Виталий Дмитриевич \ Vitalii Petrakov</author>
  </authors>
  <commentList>
    <comment ref="I3" authorId="0" shapeId="0" xr:uid="{889DDA21-58E7-478C-85A9-AA2A92DC88A7}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В отчете 0,98 (опечатка). Подправил</t>
        </r>
      </text>
    </comment>
    <comment ref="I6" authorId="0" shapeId="0" xr:uid="{BA04845A-5395-4713-8B56-EBDD3D43FB9E}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Расчет по формуле q5(ном) = 0,4. Фактическая нагрузка при испытаниях 370 т/ч</t>
        </r>
      </text>
    </comment>
    <comment ref="I7" authorId="0" shapeId="0" xr:uid="{7DFAEBD5-DEFE-45AE-BC7D-8D9FAB2AE34B}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Расчет по формуле q5(ном) = 0,4. Фактическая нагрузка при испытаниях 302 т/ч</t>
        </r>
      </text>
    </comment>
    <comment ref="B10" authorId="0" shapeId="0" xr:uid="{CC98D39E-3E3E-4025-B19B-618F727A8C3B}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Подправил, КПД взял с отчета после КР
</t>
        </r>
      </text>
    </comment>
    <comment ref="I10" authorId="0" shapeId="0" xr:uid="{6037AAD0-82A6-48B3-B20F-56CC3C58D5AE}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Расчет по формуле q5(ном) = 0,4. Фактическая нагрузка при испытаниях 340 т/ч</t>
        </r>
      </text>
    </comment>
    <comment ref="I11" authorId="0" shapeId="0" xr:uid="{17AA678C-2193-4F71-AACE-532076381574}">
      <text>
        <r>
          <rPr>
            <b/>
            <sz val="9"/>
            <color indexed="81"/>
            <rFont val="Tahoma"/>
            <family val="2"/>
            <charset val="204"/>
          </rPr>
          <t>Петраков Виталий Дмитриевич \ Vitalii Petrakov:</t>
        </r>
        <r>
          <rPr>
            <sz val="9"/>
            <color indexed="81"/>
            <rFont val="Tahoma"/>
            <family val="2"/>
            <charset val="204"/>
          </rPr>
          <t xml:space="preserve">
Расчет по формуле q5(ном) = 0,4. Фактическая нагрузка при испытаниях 388 т/ч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Дуров Дмитрий Владимирович \ Dmitrii Durov</author>
  </authors>
  <commentList>
    <comment ref="B7" authorId="0" shapeId="0" xr:uid="{00000000-0006-0000-1700-000001000000}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гарантийных испытаний СибТехЭнерго</t>
        </r>
      </text>
    </comment>
    <comment ref="B8" authorId="0" shapeId="0" xr:uid="{00000000-0006-0000-1700-000002000000}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гарантийных испытаний СибТехЭнерго</t>
        </r>
      </text>
    </comment>
    <comment ref="B14" authorId="0" shapeId="0" xr:uid="{00000000-0006-0000-1700-000003000000}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По результатам 
испытаний СибТехЭнерго</t>
        </r>
      </text>
    </comment>
    <comment ref="B23" authorId="0" shapeId="0" xr:uid="{00000000-0006-0000-1700-000004000000}">
      <text>
        <r>
          <rPr>
            <b/>
            <sz val="9"/>
            <color indexed="81"/>
            <rFont val="Tahoma"/>
            <family val="2"/>
            <charset val="204"/>
          </rPr>
          <t>Дуров Дмитрий Владимирович \ Dmitrii Durov:</t>
        </r>
        <r>
          <rPr>
            <sz val="9"/>
            <color indexed="81"/>
            <rFont val="Tahoma"/>
            <family val="2"/>
            <charset val="204"/>
          </rPr>
          <t xml:space="preserve">
СибИАЦ еще не проводило испытания, а данных СибТехЭнерго у меня нет.</t>
        </r>
      </text>
    </comment>
  </commentList>
</comments>
</file>

<file path=xl/sharedStrings.xml><?xml version="1.0" encoding="utf-8"?>
<sst xmlns="http://schemas.openxmlformats.org/spreadsheetml/2006/main" count="1651" uniqueCount="513">
  <si>
    <t>ИНСТРУКЦИЯ ПО ЗАПОЛНЕНИЮ НОРМАТИВНЫХ ЗНАЧЕНИЙ</t>
  </si>
  <si>
    <t>Структура листов:</t>
  </si>
  <si>
    <t>- Каждый лист соответствует станции (код + название)</t>
  </si>
  <si>
    <t>- На каждом листе два раздела: КПД_КОТЛЫ и УРТ_ТУРБИНЫ</t>
  </si>
  <si>
    <t>Формат данных:</t>
  </si>
  <si>
    <t>- Колонка A: код оборудования (котла или турбины) — используется программой</t>
  </si>
  <si>
    <t>- Колонка B: нормативное значение</t>
  </si>
  <si>
    <t>- Колонка C: Название (информационно, не используется программой)</t>
  </si>
  <si>
    <t>- Колонка D: Дата КР/СР (информационно, не используется программой)</t>
  </si>
  <si>
    <t>- Колонка E: Примечание (информационно, не используется программой)</t>
  </si>
  <si>
    <t>ВАЖНО: Не изменяйте структуру листов, коды оборудования и заголовки разделов!</t>
  </si>
  <si>
    <t>КПД_КОТЛЫ</t>
  </si>
  <si>
    <t>Код котла</t>
  </si>
  <si>
    <t>КПД норматив, %</t>
  </si>
  <si>
    <t>Название</t>
  </si>
  <si>
    <t>Дата КР/СР</t>
  </si>
  <si>
    <t>Примечание</t>
  </si>
  <si>
    <t>01А</t>
  </si>
  <si>
    <t>ПК-38 ст. № 1А</t>
  </si>
  <si>
    <t>23.08.2024</t>
  </si>
  <si>
    <t>После КР</t>
  </si>
  <si>
    <t>01Б</t>
  </si>
  <si>
    <t>ПК-38 ст. № 1Б</t>
  </si>
  <si>
    <t>09.09.2024</t>
  </si>
  <si>
    <t>02А</t>
  </si>
  <si>
    <t>ПК-38 ст. № 2А</t>
  </si>
  <si>
    <t>-</t>
  </si>
  <si>
    <t>02Б</t>
  </si>
  <si>
    <t>ПК-38 ст. № 2Б</t>
  </si>
  <si>
    <t>03А</t>
  </si>
  <si>
    <t>ПК-38 ст. № 3А</t>
  </si>
  <si>
    <t>03Б</t>
  </si>
  <si>
    <t>ПК-38 ст. № 3Б</t>
  </si>
  <si>
    <t>04А</t>
  </si>
  <si>
    <t>ПК-38 ст. № 4А</t>
  </si>
  <si>
    <t>04Б</t>
  </si>
  <si>
    <t>ПК-38 ст. № 4Б</t>
  </si>
  <si>
    <t>05А</t>
  </si>
  <si>
    <t>ПК-38 ст. № 5А</t>
  </si>
  <si>
    <t>05Б</t>
  </si>
  <si>
    <t>ПК-38 ст. № 5Б</t>
  </si>
  <si>
    <t>06А</t>
  </si>
  <si>
    <t>ПК-38 ст. № 6А</t>
  </si>
  <si>
    <t>06Б</t>
  </si>
  <si>
    <t>ПК-38 ст. № 6Б</t>
  </si>
  <si>
    <t>07А</t>
  </si>
  <si>
    <t>П-49 ст. № 7А</t>
  </si>
  <si>
    <t>24.12.2024</t>
  </si>
  <si>
    <t>07Б</t>
  </si>
  <si>
    <t>П-49 ст. № 7Б</t>
  </si>
  <si>
    <t>УРТ_ТУРБИНЫ</t>
  </si>
  <si>
    <t>Код турбины</t>
  </si>
  <si>
    <t>УРТ норматив, г/кВт*ч</t>
  </si>
  <si>
    <t>1</t>
  </si>
  <si>
    <t>КТ-150-130 ст. № 1</t>
  </si>
  <si>
    <t>22.08.2024</t>
  </si>
  <si>
    <t>2</t>
  </si>
  <si>
    <t>КТ-150-130 ст. № 2</t>
  </si>
  <si>
    <t>3</t>
  </si>
  <si>
    <t>КТ-150-130 ст. № 3</t>
  </si>
  <si>
    <t>4</t>
  </si>
  <si>
    <t>КТ-150-130 ст. № 4</t>
  </si>
  <si>
    <t>5</t>
  </si>
  <si>
    <t>КТ-150-130 ст. № 5</t>
  </si>
  <si>
    <t>6</t>
  </si>
  <si>
    <t>КТ-150-130 ст. № 6</t>
  </si>
  <si>
    <t>7</t>
  </si>
  <si>
    <t>К-500-240 ст. № 7</t>
  </si>
  <si>
    <t>01</t>
  </si>
  <si>
    <t>ст.1</t>
  </si>
  <si>
    <t>02.12.2024</t>
  </si>
  <si>
    <t>02</t>
  </si>
  <si>
    <t>ст.2</t>
  </si>
  <si>
    <t>24.07.2024</t>
  </si>
  <si>
    <t>03</t>
  </si>
  <si>
    <t>ст.3</t>
  </si>
  <si>
    <t>16.12.2025</t>
  </si>
  <si>
    <t>04</t>
  </si>
  <si>
    <t>ст.4</t>
  </si>
  <si>
    <t>21.12.2022</t>
  </si>
  <si>
    <t>05</t>
  </si>
  <si>
    <t>ст.5</t>
  </si>
  <si>
    <t>Ноябрь 2025</t>
  </si>
  <si>
    <t>06</t>
  </si>
  <si>
    <t>ст.6</t>
  </si>
  <si>
    <t>24.12.2021</t>
  </si>
  <si>
    <t>Турбина ст. № 1</t>
  </si>
  <si>
    <t>16.09.2022</t>
  </si>
  <si>
    <t>Турбина ст. № 2</t>
  </si>
  <si>
    <t>25.11.2024</t>
  </si>
  <si>
    <t>Турбина ст. № 3</t>
  </si>
  <si>
    <t>01.12.2023</t>
  </si>
  <si>
    <t>Турбина ст. № 4</t>
  </si>
  <si>
    <t>18.12.2025</t>
  </si>
  <si>
    <t>08</t>
  </si>
  <si>
    <t>ст.8</t>
  </si>
  <si>
    <t>17.04.2018</t>
  </si>
  <si>
    <t>09</t>
  </si>
  <si>
    <t>ст.9</t>
  </si>
  <si>
    <t>19.06.2019</t>
  </si>
  <si>
    <t>10</t>
  </si>
  <si>
    <t>ст.10</t>
  </si>
  <si>
    <t>15.10.2024</t>
  </si>
  <si>
    <t>11</t>
  </si>
  <si>
    <t>ст.11</t>
  </si>
  <si>
    <t>12</t>
  </si>
  <si>
    <t>ст.12</t>
  </si>
  <si>
    <t>13.01.2023</t>
  </si>
  <si>
    <t>13</t>
  </si>
  <si>
    <t>ст.13</t>
  </si>
  <si>
    <t>13.07.2021</t>
  </si>
  <si>
    <t>14</t>
  </si>
  <si>
    <t>ст.14</t>
  </si>
  <si>
    <t>01.04.2024</t>
  </si>
  <si>
    <t>15</t>
  </si>
  <si>
    <t>ст.15</t>
  </si>
  <si>
    <t>18.01.2024</t>
  </si>
  <si>
    <t>16</t>
  </si>
  <si>
    <t>ст.16</t>
  </si>
  <si>
    <t>16.06.2023</t>
  </si>
  <si>
    <t>Турбина ст. № 7</t>
  </si>
  <si>
    <t>13.12.2018</t>
  </si>
  <si>
    <t>9</t>
  </si>
  <si>
    <t>Турбина ст. № 9</t>
  </si>
  <si>
    <t>06.12.2022</t>
  </si>
  <si>
    <t>Турбина ст. № 11</t>
  </si>
  <si>
    <t>21.02.2022</t>
  </si>
  <si>
    <t>Турбина ст. № 12</t>
  </si>
  <si>
    <t>18.11.2025</t>
  </si>
  <si>
    <t>Турбина ст. № 13</t>
  </si>
  <si>
    <t>05.06.2002</t>
  </si>
  <si>
    <t>Турбина ст. № 14</t>
  </si>
  <si>
    <t>18.03.2025</t>
  </si>
  <si>
    <t>Турбина ст. № 15</t>
  </si>
  <si>
    <t>08.11.2021</t>
  </si>
  <si>
    <t>22.12.2022</t>
  </si>
  <si>
    <t>23.09.2022</t>
  </si>
  <si>
    <t>24.07.2025</t>
  </si>
  <si>
    <t>07</t>
  </si>
  <si>
    <t>ст.7</t>
  </si>
  <si>
    <t>16.10.2024</t>
  </si>
  <si>
    <t>21.10.2021</t>
  </si>
  <si>
    <t>22.11.2019</t>
  </si>
  <si>
    <t>28.11.2025</t>
  </si>
  <si>
    <t>19.05.2020</t>
  </si>
  <si>
    <t>20.12.2024</t>
  </si>
  <si>
    <t>25.05.2019</t>
  </si>
  <si>
    <t>30.08.2024</t>
  </si>
  <si>
    <t>08.08.2014</t>
  </si>
  <si>
    <t>27.07.2016</t>
  </si>
  <si>
    <t>18</t>
  </si>
  <si>
    <t>ст.18</t>
  </si>
  <si>
    <t>11.12.2012</t>
  </si>
  <si>
    <t>13.05.2025</t>
  </si>
  <si>
    <t>Испытания не проводились</t>
  </si>
  <si>
    <t>Турбина ст. № 5</t>
  </si>
  <si>
    <t>Турбина ст. № 6</t>
  </si>
  <si>
    <t>13.05.2021</t>
  </si>
  <si>
    <t>8</t>
  </si>
  <si>
    <t>Турбина ст. № 8</t>
  </si>
  <si>
    <t>05.12.2022</t>
  </si>
  <si>
    <t>Турбина ст. № 10</t>
  </si>
  <si>
    <t>27.11.2020</t>
  </si>
  <si>
    <t>03.07.2023</t>
  </si>
  <si>
    <t>25.06.2020</t>
  </si>
  <si>
    <t>28.12.2023</t>
  </si>
  <si>
    <t>25.12.2020</t>
  </si>
  <si>
    <t>12.11.2019</t>
  </si>
  <si>
    <t>18.12.2019</t>
  </si>
  <si>
    <t>23.11.2023</t>
  </si>
  <si>
    <t>09.01.2019</t>
  </si>
  <si>
    <t>Тепловые испытания</t>
  </si>
  <si>
    <t>13.03.2025</t>
  </si>
  <si>
    <t>20.11.2024</t>
  </si>
  <si>
    <t>21.11.2023</t>
  </si>
  <si>
    <t>01.12.2014</t>
  </si>
  <si>
    <t>24.12.2013</t>
  </si>
  <si>
    <t>30.11.2018</t>
  </si>
  <si>
    <t>30.11.2016</t>
  </si>
  <si>
    <t>20.11.2023</t>
  </si>
  <si>
    <t>12.01.2026</t>
  </si>
  <si>
    <t>21.08.2024</t>
  </si>
  <si>
    <t>07.05.2025</t>
  </si>
  <si>
    <t>18.08.2020</t>
  </si>
  <si>
    <t>27.06.2023</t>
  </si>
  <si>
    <t>15.10.2021</t>
  </si>
  <si>
    <t>13.02.2025</t>
  </si>
  <si>
    <t>20.12.2016</t>
  </si>
  <si>
    <t>17</t>
  </si>
  <si>
    <t>28.11.2022</t>
  </si>
  <si>
    <t>19.12.2021</t>
  </si>
  <si>
    <t>03.10.2021</t>
  </si>
  <si>
    <t>14.11.2024</t>
  </si>
  <si>
    <t>01.09.2022</t>
  </si>
  <si>
    <t>01.08.2023</t>
  </si>
  <si>
    <t>ст. №1</t>
  </si>
  <si>
    <t>19.07.2024</t>
  </si>
  <si>
    <t>После СР</t>
  </si>
  <si>
    <t>ст. №2</t>
  </si>
  <si>
    <t>21.11.2025</t>
  </si>
  <si>
    <t>ст. №3</t>
  </si>
  <si>
    <t>30.10.2024</t>
  </si>
  <si>
    <t>ст. №4</t>
  </si>
  <si>
    <t>04.12.2024</t>
  </si>
  <si>
    <t>ст. №5</t>
  </si>
  <si>
    <t>15.08.2025</t>
  </si>
  <si>
    <t>28.12.2021</t>
  </si>
  <si>
    <t>30.11.2020</t>
  </si>
  <si>
    <t>20.12.2022</t>
  </si>
  <si>
    <t>17.12.2024</t>
  </si>
  <si>
    <t>22.05.2024</t>
  </si>
  <si>
    <t>20.11.2021</t>
  </si>
  <si>
    <t>2025 г.</t>
  </si>
  <si>
    <t>04.10.2023</t>
  </si>
  <si>
    <t>11.09.2024</t>
  </si>
  <si>
    <t>ТП-42 ст. № 1</t>
  </si>
  <si>
    <t>ТП-42 ст. № 2</t>
  </si>
  <si>
    <t>ТП-42 ст. № 5</t>
  </si>
  <si>
    <t>05.11.2025</t>
  </si>
  <si>
    <t>10А</t>
  </si>
  <si>
    <t>10Б</t>
  </si>
  <si>
    <t>13А</t>
  </si>
  <si>
    <t>13Б</t>
  </si>
  <si>
    <t>14А</t>
  </si>
  <si>
    <t>14Б</t>
  </si>
  <si>
    <t>ТП-10 ст. № 10</t>
  </si>
  <si>
    <t>К-100-90-5 ст. № 1</t>
  </si>
  <si>
    <t>10.12.2025</t>
  </si>
  <si>
    <t>К-100-90-5 ст. № 2</t>
  </si>
  <si>
    <t>01.10.2024</t>
  </si>
  <si>
    <t>БКЗ-420 ст.1</t>
  </si>
  <si>
    <t>БКЗ-75 ст.1</t>
  </si>
  <si>
    <t>05.10.2022</t>
  </si>
  <si>
    <t>ТПЕ-216 ст.1</t>
  </si>
  <si>
    <t>ТПЕ-360 ст.2</t>
  </si>
  <si>
    <t>Т-204/220-12,8-2 ст. № 1</t>
  </si>
  <si>
    <t>07.12.2018</t>
  </si>
  <si>
    <t>21.12.2020</t>
  </si>
  <si>
    <t>27.11.2024</t>
  </si>
  <si>
    <t>19.12.2023</t>
  </si>
  <si>
    <t>11.02.2025</t>
  </si>
  <si>
    <t>10.11.2025</t>
  </si>
  <si>
    <t>После ТР</t>
  </si>
  <si>
    <t>15.11.2024</t>
  </si>
  <si>
    <t>09.11.2022</t>
  </si>
  <si>
    <t>23.10.2024</t>
  </si>
  <si>
    <t>16.01.2024</t>
  </si>
  <si>
    <t>25.12.2025</t>
  </si>
  <si>
    <t>19.11.2021</t>
  </si>
  <si>
    <t>09.12.2024</t>
  </si>
  <si>
    <t>ПК-40-1 ст. № 3А</t>
  </si>
  <si>
    <t>ПК-40-1 ст. № 3Б</t>
  </si>
  <si>
    <t>ст.№4</t>
  </si>
  <si>
    <t>20.03.2025</t>
  </si>
  <si>
    <t>ст.№5</t>
  </si>
  <si>
    <t>26.05.2025</t>
  </si>
  <si>
    <t>ст.№6</t>
  </si>
  <si>
    <t>30.11.2021</t>
  </si>
  <si>
    <t>ст.№7</t>
  </si>
  <si>
    <t>28.02.2024</t>
  </si>
  <si>
    <t>ст.№8</t>
  </si>
  <si>
    <t>23.10.2023</t>
  </si>
  <si>
    <t>ст.№9</t>
  </si>
  <si>
    <t>22.10.2025</t>
  </si>
  <si>
    <t>ст.№10</t>
  </si>
  <si>
    <t>17.10.2024</t>
  </si>
  <si>
    <t>31.08.2023</t>
  </si>
  <si>
    <t>20.12.2021</t>
  </si>
  <si>
    <t>31.07.2021</t>
  </si>
  <si>
    <t>25.02.2022</t>
  </si>
  <si>
    <t>05.08.2024</t>
  </si>
  <si>
    <t>До КР</t>
  </si>
  <si>
    <t>25.10.2022</t>
  </si>
  <si>
    <t>02.08.2022</t>
  </si>
  <si>
    <t>22.11.2024</t>
  </si>
  <si>
    <t>19.06.2024</t>
  </si>
  <si>
    <t>12.11.2020</t>
  </si>
  <si>
    <t>ст.№11</t>
  </si>
  <si>
    <t>01.10.2025</t>
  </si>
  <si>
    <t>ст.№12</t>
  </si>
  <si>
    <t>30.07.2025</t>
  </si>
  <si>
    <t>25.10.2023</t>
  </si>
  <si>
    <t>15.11.2022</t>
  </si>
  <si>
    <t>24.03.2021</t>
  </si>
  <si>
    <t>01.03.2019</t>
  </si>
  <si>
    <t>15.02.2021</t>
  </si>
  <si>
    <t>05.04.2022</t>
  </si>
  <si>
    <t>18.03.2022</t>
  </si>
  <si>
    <t>21.07.2022</t>
  </si>
  <si>
    <t>26.11.2024</t>
  </si>
  <si>
    <t>30.09.2021</t>
  </si>
  <si>
    <t>23.08.2023</t>
  </si>
  <si>
    <t>13.11.2019</t>
  </si>
  <si>
    <t>15.03.2022</t>
  </si>
  <si>
    <t>16.07.2020</t>
  </si>
  <si>
    <t>15.08.2022</t>
  </si>
  <si>
    <t>09.01.2025</t>
  </si>
  <si>
    <t>18.10.2019</t>
  </si>
  <si>
    <t>21.12.2023</t>
  </si>
  <si>
    <t>10.10.2022</t>
  </si>
  <si>
    <t>23.12.2022</t>
  </si>
  <si>
    <t>05.12.2021</t>
  </si>
  <si>
    <t>15.10.2023</t>
  </si>
  <si>
    <t>30.09.2020</t>
  </si>
  <si>
    <t>21.06.2025</t>
  </si>
  <si>
    <t>Котел ст. № 1</t>
  </si>
  <si>
    <t>24.08.2023</t>
  </si>
  <si>
    <t>Котел ст. № 2</t>
  </si>
  <si>
    <t>17.07.2024</t>
  </si>
  <si>
    <t>Котел ст. № 3</t>
  </si>
  <si>
    <t>Котел ст. № 4</t>
  </si>
  <si>
    <t>10.08.2021</t>
  </si>
  <si>
    <t>Котел ст. № 5</t>
  </si>
  <si>
    <t>12.07.2022</t>
  </si>
  <si>
    <t>Котел ст. № 6</t>
  </si>
  <si>
    <t>30.09.2022</t>
  </si>
  <si>
    <t>29.06.2023</t>
  </si>
  <si>
    <t>18.06.2024</t>
  </si>
  <si>
    <t>05.07.2021</t>
  </si>
  <si>
    <t>29.06.2022</t>
  </si>
  <si>
    <t>15.09.2022</t>
  </si>
  <si>
    <t>25.09.2024</t>
  </si>
  <si>
    <t>29.10.2022</t>
  </si>
  <si>
    <t>15.11.2012</t>
  </si>
  <si>
    <t>28.11.2023</t>
  </si>
  <si>
    <t>19.10.2022</t>
  </si>
  <si>
    <t>30.07.2023</t>
  </si>
  <si>
    <t>11.11.2025</t>
  </si>
  <si>
    <t>15.05.2023</t>
  </si>
  <si>
    <t>08.12.2021</t>
  </si>
  <si>
    <t>02.09.2024</t>
  </si>
  <si>
    <t>24.11.2022</t>
  </si>
  <si>
    <t>05.11.2024</t>
  </si>
  <si>
    <t>18.04.2024</t>
  </si>
  <si>
    <t>11.11.2021</t>
  </si>
  <si>
    <t>05.10.2020</t>
  </si>
  <si>
    <t>14.10.2025</t>
  </si>
  <si>
    <t>Июль 2025</t>
  </si>
  <si>
    <t>24.03.2025</t>
  </si>
  <si>
    <t>ПК-14 ст. № 5А</t>
  </si>
  <si>
    <t>ПК-14 ст. № 5Б</t>
  </si>
  <si>
    <t>ПК-38 ст. № 7А</t>
  </si>
  <si>
    <t>ПК-38 ст. № 7Б</t>
  </si>
  <si>
    <t>ПК-38 ст. № 8А</t>
  </si>
  <si>
    <t>ПК-38 ст. № 8Б</t>
  </si>
  <si>
    <t>08А</t>
  </si>
  <si>
    <t>БКЗ-420-140 ст. № 9А</t>
  </si>
  <si>
    <t>08Б</t>
  </si>
  <si>
    <t>БКЗ-420-140 ст. № 9Б</t>
  </si>
  <si>
    <t>09А</t>
  </si>
  <si>
    <t>БКЗ-420-140 ст. № 10А</t>
  </si>
  <si>
    <t>20.11.2025</t>
  </si>
  <si>
    <t>09Б</t>
  </si>
  <si>
    <t>БКЗ-420-140 ст. № 10Б</t>
  </si>
  <si>
    <t>01.05.2025</t>
  </si>
  <si>
    <t>21.03.2025</t>
  </si>
  <si>
    <t>ПТ-60-90/13 ст. № 5</t>
  </si>
  <si>
    <t>К-164-130 ст. № 6</t>
  </si>
  <si>
    <t>ПК-39-II ст.№1А</t>
  </si>
  <si>
    <t>13.08.2022</t>
  </si>
  <si>
    <t>ПК-39-II ст.№1Б</t>
  </si>
  <si>
    <t>ПК-39-II ст.№2А</t>
  </si>
  <si>
    <t>28.05.2025</t>
  </si>
  <si>
    <t>ПК-39-II ст.№2Б</t>
  </si>
  <si>
    <t>ПК-39-II ст.№3А</t>
  </si>
  <si>
    <t>03.10.2024</t>
  </si>
  <si>
    <t>после СР</t>
  </si>
  <si>
    <t>ПК-39-II ст.№3Б</t>
  </si>
  <si>
    <t>ПК-39-II ст.№4А</t>
  </si>
  <si>
    <t>ПК-39-II ст.№4Б</t>
  </si>
  <si>
    <t>ПК-39-II ст.№ 5А</t>
  </si>
  <si>
    <t>ПК-39-II ст.№ 5Б</t>
  </si>
  <si>
    <t>ПК-39-II ст.№6А</t>
  </si>
  <si>
    <t>17.03.2025</t>
  </si>
  <si>
    <t>ПК-39-II ст.№6Б</t>
  </si>
  <si>
    <t>ПК-57-II ст.№7</t>
  </si>
  <si>
    <t>30.09.2023</t>
  </si>
  <si>
    <t>ПК-57-II ст.№8</t>
  </si>
  <si>
    <t>28.07.2022</t>
  </si>
  <si>
    <t>ПК-57-III ст.№9</t>
  </si>
  <si>
    <t>29.06.2024</t>
  </si>
  <si>
    <t>ПК-57-III ст.№10</t>
  </si>
  <si>
    <t>10.01.2023</t>
  </si>
  <si>
    <t>16.08.2025</t>
  </si>
  <si>
    <t>13.10.2024</t>
  </si>
  <si>
    <t>20.10.2024</t>
  </si>
  <si>
    <t>20.01.2022</t>
  </si>
  <si>
    <t>12.04.2025</t>
  </si>
  <si>
    <t>08.10.2023</t>
  </si>
  <si>
    <t>13.12.2022</t>
  </si>
  <si>
    <t>23.09.2024</t>
  </si>
  <si>
    <t>БКЗ-220-100 ст. № 1А</t>
  </si>
  <si>
    <t>БКЗ-220-100 ст. № 1Б</t>
  </si>
  <si>
    <t>БКЗ-220-100 ст. № 2А</t>
  </si>
  <si>
    <t>БКЗ-220-100 ст. № 2Б</t>
  </si>
  <si>
    <t>БКЗ-220-100 ст. № 3А</t>
  </si>
  <si>
    <t>БКЗ-220-100 ст. № 3Б</t>
  </si>
  <si>
    <t>БКЗ-220-100 ст. № 4А</t>
  </si>
  <si>
    <t>БКЗ-220-100 ст. № 4Б</t>
  </si>
  <si>
    <t>БКЗ-670-140 ст. № 5</t>
  </si>
  <si>
    <t>БКЗ-670-140 ст. № 6</t>
  </si>
  <si>
    <t>БКЗ-670-140 ст. № 7</t>
  </si>
  <si>
    <t>БКЗ-670-140 ст. № 8</t>
  </si>
  <si>
    <t>БКЗ-670-140 ст. № 9</t>
  </si>
  <si>
    <t>К-100-90 ст. № 1</t>
  </si>
  <si>
    <t>К-100-90 ст. № 2</t>
  </si>
  <si>
    <t>Т-96-90 ст. № 3</t>
  </si>
  <si>
    <t>Т-96-90 ст. № 4</t>
  </si>
  <si>
    <t>К-200-130 ст. № 5</t>
  </si>
  <si>
    <t>К-200-130 ст. № 6</t>
  </si>
  <si>
    <t>К-200-130 ст. № 7</t>
  </si>
  <si>
    <t>К-200-130 ст. № 8</t>
  </si>
  <si>
    <t>К-215-130 ст. № 9</t>
  </si>
  <si>
    <t>ТП-42 ст. № 3</t>
  </si>
  <si>
    <t>К-100-90-5 ст. № 3</t>
  </si>
  <si>
    <t xml:space="preserve"> 30.11.2023</t>
  </si>
  <si>
    <t>ТП-42 ст. № 4</t>
  </si>
  <si>
    <t>ТП-42 ст. № 6</t>
  </si>
  <si>
    <t>КТ-120-8,8-2М ст. № 4</t>
  </si>
  <si>
    <t>КТ-120-8,8-2М ст. № 5</t>
  </si>
  <si>
    <t>ПК-40 ст. № 12</t>
  </si>
  <si>
    <t>ПК-40 ст. № 13А</t>
  </si>
  <si>
    <t xml:space="preserve"> К-215-130 ЛМЗ ст. № 7 </t>
  </si>
  <si>
    <t xml:space="preserve"> К-215-130-1 ЛМЗ ст.№ 8</t>
  </si>
  <si>
    <t>ПК-40 ст. № 11</t>
  </si>
  <si>
    <t xml:space="preserve">К-215-130 ЛМЗ ст.№ 6 </t>
  </si>
  <si>
    <t>ПК-40-2 ст. № 14А</t>
  </si>
  <si>
    <t>ПК-40-2 ст. № 14Б</t>
  </si>
  <si>
    <t>ТП-10 ст. № 7</t>
  </si>
  <si>
    <t>ТП-10 ст. № 8</t>
  </si>
  <si>
    <t xml:space="preserve"> К-215-130-1 ЛМЗ ст.№ 9</t>
  </si>
  <si>
    <t>ТП-10 ст. № 9</t>
  </si>
  <si>
    <t>ПК-40-1 ст. № 1А</t>
  </si>
  <si>
    <t>ПК-40-1 ст. № 1Б</t>
  </si>
  <si>
    <t>ПК-40-1 ст. № 2А</t>
  </si>
  <si>
    <t>ПК-40-1 ст. № 2Б</t>
  </si>
  <si>
    <t>ПК-40-1 ст. № 4А</t>
  </si>
  <si>
    <t>ПК-40-1 ст. № 4Б</t>
  </si>
  <si>
    <t>ПК-40-1 ст. № 5А</t>
  </si>
  <si>
    <t>ПК-40-1 ст. № 5Б</t>
  </si>
  <si>
    <t>ПК-40-1 ст. № 6А</t>
  </si>
  <si>
    <t>ПК-40-1 ст. № 6Б</t>
  </si>
  <si>
    <t>БКЗ-210-140 ст.№ 7</t>
  </si>
  <si>
    <t>БКЗ-250-140 ст.№ 11</t>
  </si>
  <si>
    <t>БКЗ-220-140 ст.№ 10</t>
  </si>
  <si>
    <t>Р-50-130-1 ст. № 7</t>
  </si>
  <si>
    <t>БКЗ-210-140 ст.№ 13</t>
  </si>
  <si>
    <t>БКЗ-210-140 ст.№ 6</t>
  </si>
  <si>
    <t>Т-65-130-2М УТЗ ст. № 9</t>
  </si>
  <si>
    <t>Т-65-130-2М УТЗ ст. № 8</t>
  </si>
  <si>
    <t>ПТ-60-120/13/1,2 ст. № 5</t>
  </si>
  <si>
    <t>ПТ-60-120/13/1,2 ст. № 6</t>
  </si>
  <si>
    <t>БКЗ-250-140 ст.№ 12</t>
  </si>
  <si>
    <t>БКЗ-210-140 ст. № 14</t>
  </si>
  <si>
    <t>БКЗ-210-140 ст. № 15</t>
  </si>
  <si>
    <t>БКЗ-210-140 ст. № 16</t>
  </si>
  <si>
    <t>БКЗ-210-140 ст. № 17</t>
  </si>
  <si>
    <t>БКЗ-210-140 ст. № 18</t>
  </si>
  <si>
    <t>Т-110/120-130 ст. № 3</t>
  </si>
  <si>
    <t>ПТ-60-130/13 ст. № 1</t>
  </si>
  <si>
    <t>ПТ-90/105-130/13 ст. № 1</t>
  </si>
  <si>
    <t>П-6-35/5М ст. № 1</t>
  </si>
  <si>
    <t xml:space="preserve"> БКЗ-320-140 ст.№7</t>
  </si>
  <si>
    <t xml:space="preserve"> БКЗ-320-140 ст.№8</t>
  </si>
  <si>
    <t xml:space="preserve"> БКЗ-320-140 ст.№9</t>
  </si>
  <si>
    <t xml:space="preserve"> БКЗ-320-140 ст.№10</t>
  </si>
  <si>
    <t xml:space="preserve"> БКЗ-320-140 ст.№11</t>
  </si>
  <si>
    <t xml:space="preserve"> БКЗ-320-140 ст.№12</t>
  </si>
  <si>
    <t xml:space="preserve"> БКЗ-320-140 ст.№13</t>
  </si>
  <si>
    <t xml:space="preserve"> БКЗ-320-140 ст.№14</t>
  </si>
  <si>
    <t>Т-100-130 ст. № 8</t>
  </si>
  <si>
    <t>ПР-25-90/10 ст. № 1</t>
  </si>
  <si>
    <t>ПТ-60/75-12,8-1,27 УТЗ ст. № 4</t>
  </si>
  <si>
    <t>Т-114,9/120-130-3 ст. № 6</t>
  </si>
  <si>
    <t>Т-110/120-130 ст. № 7</t>
  </si>
  <si>
    <t>Т-114,9/120-130-5 ст. № 8</t>
  </si>
  <si>
    <t>89.21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</si>
  <si>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ккал/кВт∙ч</t>
    </r>
  </si>
  <si>
    <t>К-215-130-1 ЛМЗ ст. № 1</t>
  </si>
  <si>
    <t>К-215-130-1 ЛМЗ ст. № 2</t>
  </si>
  <si>
    <t>К-215-130-1 ЛМЗ ст. № 3</t>
  </si>
  <si>
    <t>К-230-12,8-3М ст. № 4</t>
  </si>
  <si>
    <t>К-215-130-1 ЛМЗ ст. № 5</t>
  </si>
  <si>
    <t>К-230-12,8-3М ст. № 6</t>
  </si>
  <si>
    <t>К-150-130 ст. № 1</t>
  </si>
  <si>
    <t>К-150-130 ст. № 2</t>
  </si>
  <si>
    <t>К-150-130 ст. № 4</t>
  </si>
  <si>
    <t>К-164-130-2 ст. № 7</t>
  </si>
  <si>
    <t>К-164-130-2ПР2 ст. № 8</t>
  </si>
  <si>
    <t>ПТ-136/165-130/15 ст. № 9</t>
  </si>
  <si>
    <t>ПТ-136/165-130/15 ст. № 10</t>
  </si>
  <si>
    <t>Дата отчета</t>
  </si>
  <si>
    <t>НТД по ТИ</t>
  </si>
  <si>
    <r>
      <t xml:space="preserve">УРТ норматив, </t>
    </r>
    <r>
      <rPr>
        <b/>
        <sz val="11"/>
        <color rgb="FFFF0000"/>
        <rFont val="Calibri"/>
        <family val="2"/>
        <charset val="204"/>
      </rPr>
      <t>ккал</t>
    </r>
    <r>
      <rPr>
        <b/>
        <sz val="11"/>
        <rFont val="Calibri"/>
        <family val="2"/>
        <charset val="204"/>
      </rPr>
      <t>/кВт*ч</t>
    </r>
  </si>
  <si>
    <t>14.11.2026 (ТР)</t>
  </si>
  <si>
    <t>Испытания не проводились, данные после ТР</t>
  </si>
  <si>
    <t>После КР, УРТ по НЭХ</t>
  </si>
  <si>
    <t>УРТ норматив, ккал/кВт*ч</t>
  </si>
  <si>
    <t>после кр</t>
  </si>
  <si>
    <t>ст.17</t>
  </si>
  <si>
    <t>ст.19</t>
  </si>
  <si>
    <t>ст.20</t>
  </si>
  <si>
    <t>После РТР</t>
  </si>
  <si>
    <r>
      <t>q</t>
    </r>
    <r>
      <rPr>
        <b/>
        <vertAlign val="subscript"/>
        <sz val="11"/>
        <rFont val="Calibri"/>
        <family val="2"/>
        <charset val="204"/>
      </rPr>
      <t>2</t>
    </r>
  </si>
  <si>
    <r>
      <t>q</t>
    </r>
    <r>
      <rPr>
        <b/>
        <vertAlign val="subscript"/>
        <sz val="11"/>
        <rFont val="Calibri"/>
        <family val="2"/>
        <charset val="204"/>
      </rPr>
      <t>3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</si>
  <si>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b/>
        <vertAlign val="subscript"/>
        <sz val="11"/>
        <rFont val="Calibri"/>
        <family val="2"/>
        <charset val="204"/>
      </rPr>
      <t>4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</si>
  <si>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b/>
        <vertAlign val="subscript"/>
        <sz val="11"/>
        <rFont val="Calibri"/>
        <family val="2"/>
        <charset val="204"/>
      </rPr>
      <t>5</t>
    </r>
    <r>
      <rPr>
        <sz val="11"/>
        <color theme="1"/>
        <rFont val="Times New Roman"/>
        <family val="2"/>
        <charset val="204"/>
      </rPr>
      <t/>
    </r>
  </si>
  <si>
    <r>
      <t>q</t>
    </r>
    <r>
      <rPr>
        <b/>
        <vertAlign val="subscript"/>
        <sz val="11"/>
        <rFont val="Calibri"/>
        <family val="2"/>
        <charset val="204"/>
      </rPr>
      <t>6</t>
    </r>
    <r>
      <rPr>
        <sz val="11"/>
        <color theme="1"/>
        <rFont val="Times New Roman"/>
        <family val="2"/>
        <charset val="204"/>
      </rPr>
      <t/>
    </r>
  </si>
  <si>
    <t>q2</t>
  </si>
  <si>
    <t>q3</t>
  </si>
  <si>
    <t>q4</t>
  </si>
  <si>
    <t>q5</t>
  </si>
  <si>
    <t>q6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</si>
</sst>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.0_-;\-* #,##0.0_-;_-* &quot;-&quot;??_-;_-@_-"/>
  </numFmts>
  <fonts count="18" x14ac:knownFonts="1">
    <font>
      <sz val="11"/>
      <color theme="1"/>
      <name val="Calibri"/>
      <family val="2"/>
      <scheme val="minor"/>
    </font>
    <font>
      <b/>
      <sz val="14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i/>
      <sz val="11"/>
      <color rgb="FF808080"/>
      <name val="Calibri"/>
      <family val="2"/>
      <charset val="204"/>
    </font>
    <font>
      <i/>
      <sz val="11"/>
      <name val="Calibri"/>
      <family val="2"/>
      <charset val="204"/>
    </font>
    <font>
      <sz val="11"/>
      <name val="Calibri"/>
      <family val="2"/>
      <scheme val="minor"/>
    </font>
    <font>
      <i/>
      <sz val="11"/>
      <name val="Calibri"/>
      <family val="2"/>
    </font>
    <font>
      <i/>
      <sz val="11"/>
      <color theme="1"/>
      <name val="Calibri"/>
      <family val="2"/>
      <charset val="204"/>
      <scheme val="minor"/>
    </font>
    <font>
      <b/>
      <sz val="9"/>
      <color indexed="81"/>
      <name val="Tahoma"/>
      <family val="2"/>
      <charset val="204"/>
    </font>
    <font>
      <sz val="9"/>
      <color indexed="81"/>
      <name val="Tahoma"/>
      <family val="2"/>
      <charset val="204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vertAlign val="subscript"/>
      <sz val="11"/>
      <name val="Calibri"/>
      <family val="2"/>
      <charset val="204"/>
    </font>
    <font>
      <sz val="11"/>
      <color theme="1"/>
      <name val="Times New Roman"/>
      <family val="2"/>
      <charset val="204"/>
    </font>
    <font>
      <sz val="11"/>
      <color theme="1"/>
      <name val="Calibri"/>
      <family val="2"/>
    </font>
    <font>
      <sz val="11"/>
      <color rgb="FFFF0000"/>
      <name val="Calibri"/>
      <family val="2"/>
    </font>
    <font>
      <sz val="11"/>
      <name val="Calibri"/>
      <family val="2"/>
    </font>
  </fonts>
  <fills count="9"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FFFF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DE9D9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1" fillId="0" borderId="0" applyFont="0" applyFill="0" applyBorder="0" applyAlignment="0" applyProtection="0"/>
  </cellStyleXfs>
  <cellXfs count="6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3" fillId="0" borderId="0" xfId="0" applyFont="1"/>
    <xf numFmtId="0" fontId="4" fillId="0" borderId="0" xfId="0" applyFont="1"/>
    <xf numFmtId="14" fontId="4" fillId="3" borderId="0" xfId="0" applyNumberFormat="1" applyFont="1" applyFill="1"/>
    <xf numFmtId="0" fontId="4" fillId="3" borderId="0" xfId="0" applyFont="1" applyFill="1"/>
    <xf numFmtId="0" fontId="0" fillId="3" borderId="0" xfId="0" applyFill="1"/>
    <xf numFmtId="0" fontId="0" fillId="0" borderId="0" xfId="0" applyAlignment="1">
      <alignment horizontal="left"/>
    </xf>
    <xf numFmtId="14" fontId="0" fillId="3" borderId="0" xfId="0" applyNumberFormat="1" applyFill="1"/>
    <xf numFmtId="0" fontId="5" fillId="4" borderId="0" xfId="0" applyFont="1" applyFill="1"/>
    <xf numFmtId="0" fontId="5" fillId="3" borderId="0" xfId="0" applyFont="1" applyFill="1"/>
    <xf numFmtId="14" fontId="5" fillId="3" borderId="0" xfId="0" applyNumberFormat="1" applyFont="1" applyFill="1"/>
    <xf numFmtId="0" fontId="7" fillId="3" borderId="0" xfId="0" applyFont="1" applyFill="1"/>
    <xf numFmtId="0" fontId="6" fillId="3" borderId="0" xfId="0" applyFont="1" applyFill="1"/>
    <xf numFmtId="14" fontId="7" fillId="3" borderId="0" xfId="0" applyNumberFormat="1" applyFont="1" applyFill="1" applyAlignment="1">
      <alignment horizontal="left"/>
    </xf>
    <xf numFmtId="14" fontId="7" fillId="3" borderId="0" xfId="0" applyNumberFormat="1" applyFont="1" applyFill="1"/>
    <xf numFmtId="0" fontId="6" fillId="3" borderId="0" xfId="0" applyFont="1" applyFill="1" applyAlignment="1">
      <alignment horizontal="right"/>
    </xf>
    <xf numFmtId="2" fontId="0" fillId="3" borderId="0" xfId="0" applyNumberFormat="1" applyFill="1"/>
    <xf numFmtId="14" fontId="4" fillId="0" borderId="0" xfId="0" applyNumberFormat="1" applyFont="1"/>
    <xf numFmtId="0" fontId="0" fillId="0" borderId="0" xfId="0" applyFill="1"/>
    <xf numFmtId="14" fontId="8" fillId="5" borderId="0" xfId="0" applyNumberFormat="1" applyFont="1" applyFill="1" applyAlignment="1">
      <alignment horizontal="left"/>
    </xf>
    <xf numFmtId="0" fontId="0" fillId="5" borderId="0" xfId="0" applyFill="1"/>
    <xf numFmtId="14" fontId="4" fillId="5" borderId="0" xfId="0" applyNumberFormat="1" applyFont="1" applyFill="1" applyAlignment="1">
      <alignment horizontal="left"/>
    </xf>
    <xf numFmtId="14" fontId="5" fillId="5" borderId="0" xfId="0" applyNumberFormat="1" applyFont="1" applyFill="1" applyAlignment="1">
      <alignment horizontal="left"/>
    </xf>
    <xf numFmtId="14" fontId="5" fillId="0" borderId="0" xfId="0" applyNumberFormat="1" applyFont="1" applyFill="1"/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0" fillId="4" borderId="0" xfId="0" applyFill="1" applyAlignment="1">
      <alignment vertical="center"/>
    </xf>
    <xf numFmtId="0" fontId="0" fillId="3" borderId="0" xfId="0" applyFill="1" applyAlignment="1">
      <alignment vertical="center"/>
    </xf>
    <xf numFmtId="0" fontId="4" fillId="3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  <xf numFmtId="0" fontId="5" fillId="3" borderId="0" xfId="0" applyFont="1" applyFill="1" applyAlignment="1">
      <alignment vertical="center" wrapText="1"/>
    </xf>
    <xf numFmtId="49" fontId="0" fillId="0" borderId="0" xfId="0" applyNumberFormat="1"/>
    <xf numFmtId="43" fontId="0" fillId="6" borderId="0" xfId="1" applyFont="1" applyFill="1"/>
    <xf numFmtId="0" fontId="0" fillId="6" borderId="0" xfId="0" applyFill="1"/>
    <xf numFmtId="164" fontId="0" fillId="6" borderId="0" xfId="1" applyNumberFormat="1" applyFont="1" applyFill="1"/>
    <xf numFmtId="164" fontId="0" fillId="0" borderId="0" xfId="1" applyNumberFormat="1" applyFont="1"/>
    <xf numFmtId="164" fontId="0" fillId="3" borderId="0" xfId="1" applyNumberFormat="1" applyFont="1" applyFill="1"/>
    <xf numFmtId="0" fontId="6" fillId="6" borderId="0" xfId="0" applyFont="1" applyFill="1"/>
    <xf numFmtId="0" fontId="7" fillId="0" borderId="0" xfId="0" applyFont="1"/>
    <xf numFmtId="14" fontId="5" fillId="0" borderId="0" xfId="0" applyNumberFormat="1" applyFont="1"/>
    <xf numFmtId="0" fontId="4" fillId="6" borderId="0" xfId="0" applyFont="1" applyFill="1"/>
    <xf numFmtId="0" fontId="3" fillId="0" borderId="0" xfId="0" applyFont="1" applyAlignment="1">
      <alignment horizontal="center" vertical="center"/>
    </xf>
    <xf numFmtId="43" fontId="0" fillId="0" borderId="0" xfId="1" applyFont="1"/>
    <xf numFmtId="2" fontId="0" fillId="6" borderId="0" xfId="0" applyNumberFormat="1" applyFill="1"/>
    <xf numFmtId="43" fontId="0" fillId="3" borderId="0" xfId="1" applyFont="1" applyFill="1"/>
    <xf numFmtId="14" fontId="4" fillId="0" borderId="0" xfId="0" applyNumberFormat="1" applyFont="1" applyAlignment="1">
      <alignment horizontal="left"/>
    </xf>
    <xf numFmtId="14" fontId="0" fillId="0" borderId="0" xfId="0" applyNumberFormat="1" applyAlignment="1">
      <alignment horizontal="left"/>
    </xf>
    <xf numFmtId="43" fontId="15" fillId="7" borderId="0" xfId="1" applyFont="1" applyFill="1" applyBorder="1"/>
    <xf numFmtId="43" fontId="15" fillId="0" borderId="0" xfId="1" applyFont="1" applyFill="1" applyBorder="1"/>
    <xf numFmtId="0" fontId="15" fillId="7" borderId="0" xfId="0" applyFont="1" applyFill="1"/>
    <xf numFmtId="43" fontId="4" fillId="0" borderId="0" xfId="1" applyFont="1" applyFill="1" applyBorder="1"/>
    <xf numFmtId="43" fontId="15" fillId="8" borderId="0" xfId="1" applyFont="1" applyFill="1" applyBorder="1"/>
    <xf numFmtId="43" fontId="16" fillId="0" borderId="0" xfId="1" applyFont="1" applyFill="1" applyBorder="1"/>
    <xf numFmtId="43" fontId="17" fillId="0" borderId="0" xfId="1" applyFont="1" applyFill="1" applyBorder="1"/>
    <xf numFmtId="14" fontId="4" fillId="6" borderId="0" xfId="0" applyNumberFormat="1" applyFont="1" applyFill="1"/>
    <xf numFmtId="43" fontId="16" fillId="7" borderId="0" xfId="1" applyFont="1" applyFill="1" applyBorder="1"/>
    <xf numFmtId="0" fontId="15" fillId="0" borderId="0" xfId="0" applyFont="1" applyAlignment="1">
      <alignment horizontal="center" vertical="center"/>
    </xf>
    <xf numFmtId="43" fontId="15" fillId="0" borderId="0" xfId="1" applyFont="1" applyFill="1" applyBorder="1" applyAlignment="1">
      <alignment horizontal="center" vertical="center"/>
    </xf>
    <xf numFmtId="49" fontId="0" fillId="3" borderId="0" xfId="0" applyNumberFormat="1" applyFill="1"/>
  </cellXfs>
  <cellStyles count="2">
    <cellStyle name="Обычный" xfId="0" builtinId="0"/>
    <cellStyle name="Финансовый" xfId="1" builtinId="3"/>
  </cellStyles>
  <dxfs count="0"/>
  <tableStyles count="0" defaultTableStyle="TableStyleMedium9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A14"/>
  <sheetViews>
    <sheetView workbookViewId="0">
      <selection activeCell="G21" sqref="G21"/>
    </sheetView>
  </sheetViews>
  <sheetFormatPr defaultRowHeight="14.5" x14ac:dyDescent="0.35"/>
  <cols>
    <col min="1" max="1" width="70" customWidth="1"/>
  </cols>
  <sheetData>
    <row r="1" spans="1:1" ht="18.5" x14ac:dyDescent="0.45">
      <c r="A1" s="1" t="s">
        <v>0</v>
      </c>
    </row>
    <row r="3" spans="1:1" x14ac:dyDescent="0.35">
      <c r="A3" t="s">
        <v>1</v>
      </c>
    </row>
    <row r="4" spans="1:1" x14ac:dyDescent="0.35">
      <c r="A4" t="s">
        <v>2</v>
      </c>
    </row>
    <row r="5" spans="1:1" x14ac:dyDescent="0.35">
      <c r="A5" t="s">
        <v>3</v>
      </c>
    </row>
    <row r="7" spans="1:1" x14ac:dyDescent="0.35">
      <c r="A7" t="s">
        <v>4</v>
      </c>
    </row>
    <row r="8" spans="1:1" x14ac:dyDescent="0.35">
      <c r="A8" t="s">
        <v>5</v>
      </c>
    </row>
    <row r="9" spans="1:1" x14ac:dyDescent="0.35">
      <c r="A9" t="s">
        <v>6</v>
      </c>
    </row>
    <row r="10" spans="1:1" x14ac:dyDescent="0.35">
      <c r="A10" t="s">
        <v>7</v>
      </c>
    </row>
    <row r="11" spans="1:1" x14ac:dyDescent="0.35">
      <c r="A11" t="s">
        <v>8</v>
      </c>
    </row>
    <row r="12" spans="1:1" x14ac:dyDescent="0.35">
      <c r="A12" t="s">
        <v>9</v>
      </c>
    </row>
    <row r="14" spans="1:1" x14ac:dyDescent="0.35">
      <c r="A14" s="2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">
    <tabColor theme="9" tint="0.79998168889431442"/>
  </sheetPr>
  <dimension ref="A1:J27"/>
  <sheetViews>
    <sheetView workbookViewId="0">
      <selection activeCell="B27" sqref="B27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ht="16.5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503</v>
      </c>
      <c r="G2" s="44" t="s">
        <v>504</v>
      </c>
      <c r="H2" s="44" t="s">
        <v>505</v>
      </c>
      <c r="I2" s="44" t="s">
        <v>506</v>
      </c>
      <c r="J2" s="44" t="s">
        <v>507</v>
      </c>
    </row>
    <row r="3" spans="1:10" x14ac:dyDescent="0.35">
      <c r="A3" t="s">
        <v>17</v>
      </c>
      <c r="B3">
        <v>91.73</v>
      </c>
      <c r="C3" s="5" t="s">
        <v>18</v>
      </c>
      <c r="D3" s="5" t="s">
        <v>19</v>
      </c>
      <c r="E3" s="5" t="s">
        <v>20</v>
      </c>
      <c r="F3" s="45">
        <v>7.28</v>
      </c>
      <c r="G3" s="45">
        <v>0</v>
      </c>
      <c r="H3" s="45">
        <v>0.09</v>
      </c>
      <c r="I3" s="45">
        <f>0.5*250/178.1</f>
        <v>0.70185289163391351</v>
      </c>
      <c r="J3" s="45">
        <f t="shared" ref="J3:J12" si="0">100-B3-F3-G3-H3-I3</f>
        <v>0.19814710836608229</v>
      </c>
    </row>
    <row r="4" spans="1:10" x14ac:dyDescent="0.35">
      <c r="A4" t="s">
        <v>21</v>
      </c>
      <c r="B4">
        <v>89.06</v>
      </c>
      <c r="C4" s="5" t="s">
        <v>22</v>
      </c>
      <c r="D4" s="5" t="s">
        <v>23</v>
      </c>
      <c r="E4" s="5" t="s">
        <v>20</v>
      </c>
      <c r="F4" s="45">
        <v>10.14</v>
      </c>
      <c r="G4" s="45">
        <v>0</v>
      </c>
      <c r="H4" s="45">
        <v>0.16</v>
      </c>
      <c r="I4" s="45">
        <f>0.5*270/225.7</f>
        <v>0.59813912272928671</v>
      </c>
      <c r="J4" s="45">
        <f t="shared" si="0"/>
        <v>4.1860877270710417E-2</v>
      </c>
    </row>
    <row r="5" spans="1:10" x14ac:dyDescent="0.35">
      <c r="A5" t="s">
        <v>24</v>
      </c>
      <c r="B5" s="40">
        <v>90.64</v>
      </c>
      <c r="C5" s="41" t="s">
        <v>25</v>
      </c>
      <c r="D5" s="42">
        <v>45930</v>
      </c>
      <c r="E5" s="41" t="s">
        <v>20</v>
      </c>
      <c r="F5" s="45">
        <v>8.76</v>
      </c>
      <c r="G5" s="45">
        <v>0</v>
      </c>
      <c r="H5" s="45">
        <v>0.04</v>
      </c>
      <c r="I5" s="45">
        <f>0.5*270/252.9</f>
        <v>0.53380782918149461</v>
      </c>
      <c r="J5" s="45">
        <f t="shared" si="0"/>
        <v>2.6192170818505001E-2</v>
      </c>
    </row>
    <row r="6" spans="1:10" x14ac:dyDescent="0.35">
      <c r="A6" t="s">
        <v>27</v>
      </c>
      <c r="B6" s="40">
        <v>90.28</v>
      </c>
      <c r="C6" s="41" t="s">
        <v>28</v>
      </c>
      <c r="D6" s="42">
        <v>45930</v>
      </c>
      <c r="E6" s="41" t="s">
        <v>20</v>
      </c>
      <c r="F6" s="45">
        <v>8.9600000000000009</v>
      </c>
      <c r="G6" s="45">
        <v>0</v>
      </c>
      <c r="H6" s="45">
        <v>0.03</v>
      </c>
      <c r="I6" s="45">
        <f>0.5*250/230.3</f>
        <v>0.54277029960920531</v>
      </c>
      <c r="J6" s="45">
        <f t="shared" si="0"/>
        <v>0.18722970039079267</v>
      </c>
    </row>
    <row r="7" spans="1:10" x14ac:dyDescent="0.35">
      <c r="A7" t="s">
        <v>29</v>
      </c>
      <c r="B7">
        <v>90.46</v>
      </c>
      <c r="C7" s="5" t="s">
        <v>30</v>
      </c>
      <c r="D7" s="20">
        <v>44554</v>
      </c>
      <c r="E7" s="5" t="s">
        <v>20</v>
      </c>
      <c r="F7" s="45">
        <v>8.91</v>
      </c>
      <c r="G7" s="45">
        <v>0</v>
      </c>
      <c r="H7" s="45">
        <v>0.1</v>
      </c>
      <c r="I7" s="45">
        <f>0.5*270/261.7</f>
        <v>0.51585785250286587</v>
      </c>
      <c r="J7" s="45">
        <f t="shared" si="0"/>
        <v>1.4142147497140267E-2</v>
      </c>
    </row>
    <row r="8" spans="1:10" x14ac:dyDescent="0.35">
      <c r="A8" t="s">
        <v>31</v>
      </c>
      <c r="B8">
        <v>90.91</v>
      </c>
      <c r="C8" s="5" t="s">
        <v>32</v>
      </c>
      <c r="D8" s="20">
        <v>44554</v>
      </c>
      <c r="E8" s="5" t="s">
        <v>20</v>
      </c>
      <c r="F8" s="45">
        <v>8.2200000000000006</v>
      </c>
      <c r="G8" s="45">
        <v>0</v>
      </c>
      <c r="H8" s="45">
        <v>0.04</v>
      </c>
      <c r="I8" s="45">
        <f>0.5*250/198.4</f>
        <v>0.63004032258064513</v>
      </c>
      <c r="J8" s="45">
        <f t="shared" si="0"/>
        <v>0.19995967741935761</v>
      </c>
    </row>
    <row r="9" spans="1:10" x14ac:dyDescent="0.35">
      <c r="A9" t="s">
        <v>33</v>
      </c>
      <c r="B9">
        <v>91.06</v>
      </c>
      <c r="C9" s="5" t="s">
        <v>34</v>
      </c>
      <c r="D9" s="20">
        <v>44336</v>
      </c>
      <c r="E9" s="5" t="s">
        <v>20</v>
      </c>
      <c r="F9" s="45">
        <v>8.1999999999999993</v>
      </c>
      <c r="G9" s="45">
        <v>0</v>
      </c>
      <c r="H9" s="45">
        <v>0.02</v>
      </c>
      <c r="I9" s="45">
        <f>0.5*250/233.4</f>
        <v>0.53556126820908312</v>
      </c>
      <c r="J9" s="45">
        <f t="shared" si="0"/>
        <v>0.1844387317909153</v>
      </c>
    </row>
    <row r="10" spans="1:10" x14ac:dyDescent="0.35">
      <c r="A10" t="s">
        <v>35</v>
      </c>
      <c r="B10" s="36">
        <v>89.07</v>
      </c>
      <c r="C10" s="5" t="s">
        <v>36</v>
      </c>
      <c r="D10" s="20">
        <v>44850</v>
      </c>
      <c r="E10" s="43" t="s">
        <v>502</v>
      </c>
      <c r="F10" s="35">
        <v>10.210000000000001</v>
      </c>
      <c r="G10" s="35">
        <v>0</v>
      </c>
      <c r="H10" s="35">
        <v>0.1</v>
      </c>
      <c r="I10" s="35">
        <v>0.61</v>
      </c>
      <c r="J10" s="45">
        <f t="shared" si="0"/>
        <v>1.0000000000006004E-2</v>
      </c>
    </row>
    <row r="11" spans="1:10" x14ac:dyDescent="0.35">
      <c r="A11" t="s">
        <v>37</v>
      </c>
      <c r="B11">
        <v>89.48</v>
      </c>
      <c r="C11" s="5" t="s">
        <v>38</v>
      </c>
      <c r="D11" s="20">
        <v>44186</v>
      </c>
      <c r="E11" s="5" t="s">
        <v>20</v>
      </c>
      <c r="F11" s="45">
        <v>9.48</v>
      </c>
      <c r="G11" s="45">
        <v>0</v>
      </c>
      <c r="H11" s="45">
        <v>0.27</v>
      </c>
      <c r="I11" s="45">
        <f>0.5*250/217</f>
        <v>0.57603686635944695</v>
      </c>
      <c r="J11" s="45">
        <f t="shared" si="0"/>
        <v>0.19396313364054862</v>
      </c>
    </row>
    <row r="12" spans="1:10" x14ac:dyDescent="0.35">
      <c r="A12" t="s">
        <v>39</v>
      </c>
      <c r="B12" s="36">
        <v>87.58</v>
      </c>
      <c r="C12" s="5" t="s">
        <v>40</v>
      </c>
      <c r="D12" s="20">
        <v>45107</v>
      </c>
      <c r="E12" s="43" t="s">
        <v>502</v>
      </c>
      <c r="F12" s="35">
        <v>10.29</v>
      </c>
      <c r="G12" s="35">
        <v>0</v>
      </c>
      <c r="H12" s="35">
        <v>1.33</v>
      </c>
      <c r="I12" s="35">
        <v>0.79</v>
      </c>
      <c r="J12" s="45">
        <f t="shared" si="0"/>
        <v>1.0000000000002451E-2</v>
      </c>
    </row>
    <row r="13" spans="1:10" x14ac:dyDescent="0.35">
      <c r="A13" t="s">
        <v>41</v>
      </c>
      <c r="B13">
        <v>89.85</v>
      </c>
      <c r="C13" s="5" t="s">
        <v>42</v>
      </c>
      <c r="D13" s="20">
        <v>44879</v>
      </c>
      <c r="E13" s="5" t="s">
        <v>20</v>
      </c>
      <c r="F13" s="45">
        <v>9.32</v>
      </c>
      <c r="G13" s="45">
        <v>0</v>
      </c>
      <c r="H13" s="45">
        <v>0.03</v>
      </c>
      <c r="I13" s="45">
        <f>0.5*250/215.9</f>
        <v>0.57897174617878644</v>
      </c>
      <c r="J13" s="45">
        <f>100-B13-F13-G13-H13-I13</f>
        <v>0.22102825382121893</v>
      </c>
    </row>
    <row r="14" spans="1:10" x14ac:dyDescent="0.35">
      <c r="A14" t="s">
        <v>43</v>
      </c>
      <c r="B14">
        <v>88.58</v>
      </c>
      <c r="C14" s="5" t="s">
        <v>44</v>
      </c>
      <c r="D14" s="20">
        <v>44879</v>
      </c>
      <c r="E14" s="5" t="s">
        <v>20</v>
      </c>
      <c r="F14" s="45">
        <v>10.54</v>
      </c>
      <c r="G14" s="45">
        <v>0</v>
      </c>
      <c r="H14" s="45">
        <v>0.02</v>
      </c>
      <c r="I14" s="45">
        <f>0.5*250/196</f>
        <v>0.63775510204081631</v>
      </c>
      <c r="J14" s="45">
        <f>100-B14-F14-G14-H14-I14</f>
        <v>0.22224489795918623</v>
      </c>
    </row>
    <row r="15" spans="1:10" x14ac:dyDescent="0.35">
      <c r="A15" t="s">
        <v>45</v>
      </c>
      <c r="B15">
        <v>87.92</v>
      </c>
      <c r="C15" s="5" t="s">
        <v>46</v>
      </c>
      <c r="D15" s="5" t="s">
        <v>47</v>
      </c>
      <c r="E15" s="5" t="s">
        <v>20</v>
      </c>
      <c r="F15" s="45">
        <v>10.76</v>
      </c>
      <c r="G15" s="45">
        <v>0</v>
      </c>
      <c r="H15" s="45">
        <v>0.82</v>
      </c>
      <c r="I15" s="45">
        <f>0.5*800/824.4</f>
        <v>0.48520135856380397</v>
      </c>
      <c r="J15" s="45">
        <f>100-B15-F15-G15-H15-I15</f>
        <v>1.4798641436194582E-2</v>
      </c>
    </row>
    <row r="16" spans="1:10" x14ac:dyDescent="0.35">
      <c r="A16" t="s">
        <v>48</v>
      </c>
      <c r="B16">
        <v>88.93</v>
      </c>
      <c r="C16" s="5" t="s">
        <v>49</v>
      </c>
      <c r="D16" s="5" t="s">
        <v>47</v>
      </c>
      <c r="E16" s="5" t="s">
        <v>20</v>
      </c>
      <c r="F16" s="45">
        <v>9.5</v>
      </c>
      <c r="G16" s="45">
        <v>0</v>
      </c>
      <c r="H16" s="45">
        <v>1.1000000000000001</v>
      </c>
      <c r="I16" s="45">
        <f>0.5*800/903.9</f>
        <v>0.44252682818895894</v>
      </c>
      <c r="J16" s="45">
        <f>100-B16-F16-G16-H16-I16</f>
        <v>2.7473171811034147E-2</v>
      </c>
    </row>
    <row r="19" spans="1:5" x14ac:dyDescent="0.35">
      <c r="A19" s="3" t="s">
        <v>50</v>
      </c>
    </row>
    <row r="20" spans="1:5" x14ac:dyDescent="0.35">
      <c r="A20" s="4" t="s">
        <v>51</v>
      </c>
      <c r="B20" s="4" t="s">
        <v>493</v>
      </c>
      <c r="C20" s="4" t="s">
        <v>14</v>
      </c>
      <c r="D20" s="4" t="s">
        <v>15</v>
      </c>
      <c r="E20" s="4" t="s">
        <v>16</v>
      </c>
    </row>
    <row r="21" spans="1:5" x14ac:dyDescent="0.35">
      <c r="A21" t="s">
        <v>53</v>
      </c>
      <c r="B21" s="37">
        <v>2230.7959218283813</v>
      </c>
      <c r="C21" s="5" t="s">
        <v>54</v>
      </c>
      <c r="D21" s="5" t="s">
        <v>55</v>
      </c>
      <c r="E21" s="5" t="s">
        <v>20</v>
      </c>
    </row>
    <row r="22" spans="1:5" x14ac:dyDescent="0.35">
      <c r="A22" t="s">
        <v>56</v>
      </c>
      <c r="B22" s="37">
        <v>2175.5472078026987</v>
      </c>
      <c r="C22" s="12" t="s">
        <v>57</v>
      </c>
      <c r="D22" s="13">
        <v>45930</v>
      </c>
      <c r="E22" s="12" t="s">
        <v>20</v>
      </c>
    </row>
    <row r="23" spans="1:5" x14ac:dyDescent="0.35">
      <c r="A23" t="s">
        <v>58</v>
      </c>
      <c r="B23" s="37">
        <v>2180.68946151829</v>
      </c>
      <c r="C23" s="12" t="s">
        <v>59</v>
      </c>
      <c r="D23" s="13">
        <v>44545</v>
      </c>
      <c r="E23" s="12" t="s">
        <v>20</v>
      </c>
    </row>
    <row r="24" spans="1:5" x14ac:dyDescent="0.35">
      <c r="A24" t="s">
        <v>60</v>
      </c>
      <c r="B24" s="37">
        <v>2303.852006985921</v>
      </c>
      <c r="C24" s="7" t="s">
        <v>61</v>
      </c>
      <c r="D24" s="6">
        <v>44336</v>
      </c>
      <c r="E24" s="7" t="s">
        <v>20</v>
      </c>
    </row>
    <row r="25" spans="1:5" x14ac:dyDescent="0.35">
      <c r="A25" t="s">
        <v>62</v>
      </c>
      <c r="B25" s="37">
        <v>2273.3574090868387</v>
      </c>
      <c r="C25" s="7" t="s">
        <v>63</v>
      </c>
      <c r="D25" s="6">
        <v>44166</v>
      </c>
      <c r="E25" s="7" t="s">
        <v>20</v>
      </c>
    </row>
    <row r="26" spans="1:5" x14ac:dyDescent="0.35">
      <c r="A26" t="s">
        <v>64</v>
      </c>
      <c r="B26" s="37">
        <v>2225.9082280204043</v>
      </c>
      <c r="C26" s="7" t="s">
        <v>65</v>
      </c>
      <c r="D26" s="6">
        <v>44883</v>
      </c>
      <c r="E26" s="7" t="s">
        <v>20</v>
      </c>
    </row>
    <row r="27" spans="1:5" x14ac:dyDescent="0.35">
      <c r="A27" t="s">
        <v>66</v>
      </c>
      <c r="B27" s="37">
        <v>2241.3128403508008</v>
      </c>
      <c r="C27" s="5" t="s">
        <v>67</v>
      </c>
      <c r="D27" s="5" t="s">
        <v>47</v>
      </c>
      <c r="E27" s="5" t="s">
        <v>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3"/>
  <dimension ref="A1:J16"/>
  <sheetViews>
    <sheetView workbookViewId="0">
      <selection activeCell="G12" sqref="G12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ht="16.5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503</v>
      </c>
      <c r="G2" s="44" t="s">
        <v>504</v>
      </c>
      <c r="H2" s="44" t="s">
        <v>505</v>
      </c>
      <c r="I2" s="44" t="s">
        <v>506</v>
      </c>
      <c r="J2" s="44" t="s">
        <v>507</v>
      </c>
    </row>
    <row r="3" spans="1:10" x14ac:dyDescent="0.35">
      <c r="A3" t="s">
        <v>68</v>
      </c>
      <c r="B3" s="46">
        <v>92.39</v>
      </c>
      <c r="C3" s="5" t="s">
        <v>69</v>
      </c>
      <c r="D3" s="5" t="s">
        <v>70</v>
      </c>
      <c r="E3" s="5" t="s">
        <v>20</v>
      </c>
      <c r="F3" s="35">
        <v>6.9</v>
      </c>
      <c r="G3" s="35">
        <v>0</v>
      </c>
      <c r="H3" s="35">
        <v>0.08</v>
      </c>
      <c r="I3" s="35">
        <v>0.44</v>
      </c>
      <c r="J3" s="35">
        <f>100-B3-F3-G3-H3-I3</f>
        <v>0.18999999999999911</v>
      </c>
    </row>
    <row r="4" spans="1:10" x14ac:dyDescent="0.35">
      <c r="A4" t="s">
        <v>71</v>
      </c>
      <c r="B4" s="46">
        <v>92.69</v>
      </c>
      <c r="C4" s="5" t="s">
        <v>72</v>
      </c>
      <c r="D4" s="5" t="s">
        <v>73</v>
      </c>
      <c r="E4" s="5" t="s">
        <v>20</v>
      </c>
      <c r="F4" s="45">
        <v>6.64</v>
      </c>
      <c r="G4" s="45">
        <v>0</v>
      </c>
      <c r="H4" s="45">
        <v>0.06</v>
      </c>
      <c r="I4" s="45">
        <v>0.46</v>
      </c>
      <c r="J4" s="35">
        <f t="shared" ref="J4:J8" si="0">100-B4-F4-G4-H4-I4</f>
        <v>0.15000000000000252</v>
      </c>
    </row>
    <row r="5" spans="1:10" x14ac:dyDescent="0.35">
      <c r="A5" t="s">
        <v>74</v>
      </c>
      <c r="B5" s="46">
        <v>92.38</v>
      </c>
      <c r="C5" s="5" t="s">
        <v>75</v>
      </c>
      <c r="D5" s="5" t="s">
        <v>76</v>
      </c>
      <c r="E5" s="5" t="s">
        <v>20</v>
      </c>
      <c r="F5" s="45">
        <v>6.86</v>
      </c>
      <c r="G5" s="45">
        <v>0</v>
      </c>
      <c r="H5" s="45">
        <v>0.18</v>
      </c>
      <c r="I5" s="45">
        <v>0.44</v>
      </c>
      <c r="J5" s="35">
        <f t="shared" si="0"/>
        <v>0.14000000000000429</v>
      </c>
    </row>
    <row r="6" spans="1:10" x14ac:dyDescent="0.35">
      <c r="A6" t="s">
        <v>77</v>
      </c>
      <c r="B6" s="46">
        <v>90.619000000000014</v>
      </c>
      <c r="C6" s="5" t="s">
        <v>78</v>
      </c>
      <c r="D6" s="5" t="s">
        <v>79</v>
      </c>
      <c r="E6" s="5" t="s">
        <v>20</v>
      </c>
      <c r="F6" s="35">
        <v>8.82</v>
      </c>
      <c r="G6" s="45">
        <v>0</v>
      </c>
      <c r="H6" s="45">
        <v>0.21</v>
      </c>
      <c r="I6" s="45">
        <v>0.35</v>
      </c>
      <c r="J6" s="35">
        <f t="shared" si="0"/>
        <v>9.9999999998579003E-4</v>
      </c>
    </row>
    <row r="7" spans="1:10" x14ac:dyDescent="0.35">
      <c r="A7" t="s">
        <v>80</v>
      </c>
      <c r="B7" s="46">
        <v>91.01700000000001</v>
      </c>
      <c r="C7" s="5" t="s">
        <v>81</v>
      </c>
      <c r="D7" s="5" t="s">
        <v>82</v>
      </c>
      <c r="E7" s="5" t="s">
        <v>20</v>
      </c>
      <c r="F7" s="35">
        <v>8.41</v>
      </c>
      <c r="G7" s="45">
        <v>0</v>
      </c>
      <c r="H7" s="45">
        <v>0.21</v>
      </c>
      <c r="I7" s="45">
        <v>0.35</v>
      </c>
      <c r="J7" s="35">
        <f t="shared" si="0"/>
        <v>1.2999999999989797E-2</v>
      </c>
    </row>
    <row r="8" spans="1:10" x14ac:dyDescent="0.35">
      <c r="A8" t="s">
        <v>83</v>
      </c>
      <c r="B8" s="46">
        <v>90.860000000000014</v>
      </c>
      <c r="C8" s="5" t="s">
        <v>84</v>
      </c>
      <c r="D8" s="5" t="s">
        <v>85</v>
      </c>
      <c r="E8" s="5" t="s">
        <v>20</v>
      </c>
      <c r="F8" s="35">
        <v>8.58</v>
      </c>
      <c r="G8" s="45">
        <v>0</v>
      </c>
      <c r="H8" s="45">
        <v>0.21</v>
      </c>
      <c r="I8" s="45">
        <v>0.34899999999999998</v>
      </c>
      <c r="J8" s="35">
        <f t="shared" si="0"/>
        <v>9.9999999998634514E-4</v>
      </c>
    </row>
    <row r="11" spans="1:10" x14ac:dyDescent="0.35">
      <c r="A11" s="3" t="s">
        <v>50</v>
      </c>
    </row>
    <row r="12" spans="1:10" x14ac:dyDescent="0.3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10" x14ac:dyDescent="0.35">
      <c r="A13" t="s">
        <v>53</v>
      </c>
      <c r="B13">
        <v>1994.7</v>
      </c>
      <c r="C13" s="5" t="s">
        <v>86</v>
      </c>
      <c r="D13" s="5" t="s">
        <v>87</v>
      </c>
      <c r="E13" s="5"/>
    </row>
    <row r="14" spans="1:10" x14ac:dyDescent="0.35">
      <c r="A14" t="s">
        <v>56</v>
      </c>
      <c r="B14">
        <v>1261.0999999999999</v>
      </c>
      <c r="C14" s="5" t="s">
        <v>88</v>
      </c>
      <c r="D14" s="5" t="s">
        <v>89</v>
      </c>
      <c r="E14" s="5"/>
    </row>
    <row r="15" spans="1:10" x14ac:dyDescent="0.35">
      <c r="A15" t="s">
        <v>58</v>
      </c>
      <c r="B15">
        <v>1208.2</v>
      </c>
      <c r="C15" s="5" t="s">
        <v>90</v>
      </c>
      <c r="D15" s="5" t="s">
        <v>91</v>
      </c>
      <c r="E15" s="5"/>
    </row>
    <row r="16" spans="1:10" x14ac:dyDescent="0.35">
      <c r="A16" t="s">
        <v>60</v>
      </c>
      <c r="B16">
        <v>1100.7</v>
      </c>
      <c r="C16" s="5" t="s">
        <v>92</v>
      </c>
      <c r="D16" s="5" t="s">
        <v>93</v>
      </c>
      <c r="E16" s="5" t="s">
        <v>20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4"/>
  <dimension ref="A1:J22"/>
  <sheetViews>
    <sheetView workbookViewId="0">
      <selection activeCell="I15" sqref="I15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ht="16.5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503</v>
      </c>
      <c r="G2" s="44" t="s">
        <v>504</v>
      </c>
      <c r="H2" s="44" t="s">
        <v>505</v>
      </c>
      <c r="I2" s="44" t="s">
        <v>506</v>
      </c>
      <c r="J2" s="44" t="s">
        <v>507</v>
      </c>
    </row>
    <row r="3" spans="1:10" x14ac:dyDescent="0.35">
      <c r="A3" t="s">
        <v>94</v>
      </c>
      <c r="B3">
        <v>91.09</v>
      </c>
      <c r="C3" s="5" t="s">
        <v>95</v>
      </c>
      <c r="D3" s="5" t="s">
        <v>96</v>
      </c>
      <c r="E3" s="5" t="s">
        <v>20</v>
      </c>
      <c r="F3" s="47">
        <v>7.9</v>
      </c>
      <c r="G3" s="47">
        <v>0</v>
      </c>
      <c r="H3" s="47">
        <v>0.17</v>
      </c>
      <c r="I3" s="47">
        <f>0.5*420/315</f>
        <v>0.66666666666666663</v>
      </c>
      <c r="J3" s="47">
        <f>100-B3-F3-G3-H3-I3</f>
        <v>0.17333333333332956</v>
      </c>
    </row>
    <row r="4" spans="1:10" x14ac:dyDescent="0.35">
      <c r="A4" t="s">
        <v>97</v>
      </c>
      <c r="B4">
        <v>90.96</v>
      </c>
      <c r="C4" s="5" t="s">
        <v>98</v>
      </c>
      <c r="D4" s="5" t="s">
        <v>99</v>
      </c>
      <c r="E4" s="5" t="s">
        <v>20</v>
      </c>
      <c r="F4" s="47">
        <v>7.6</v>
      </c>
      <c r="G4" s="47">
        <v>0</v>
      </c>
      <c r="H4" s="47">
        <v>0.51</v>
      </c>
      <c r="I4" s="47">
        <f>0.5*420/296</f>
        <v>0.70945945945945943</v>
      </c>
      <c r="J4" s="47">
        <f>100-B4-F4-G4-H4-I4</f>
        <v>0.22054054054054717</v>
      </c>
    </row>
    <row r="5" spans="1:10" x14ac:dyDescent="0.35">
      <c r="A5" t="s">
        <v>100</v>
      </c>
      <c r="B5">
        <v>90.7</v>
      </c>
      <c r="C5" s="5" t="s">
        <v>101</v>
      </c>
      <c r="D5" s="5" t="s">
        <v>102</v>
      </c>
      <c r="E5" s="5" t="s">
        <v>20</v>
      </c>
      <c r="F5" s="36">
        <v>8.26</v>
      </c>
      <c r="G5" s="36">
        <v>0</v>
      </c>
      <c r="H5" s="36">
        <v>0.24</v>
      </c>
      <c r="I5" s="36">
        <v>0.39</v>
      </c>
      <c r="J5" s="47">
        <f t="shared" ref="J5:J9" si="0">100-B5-F5-G5-H5-I5</f>
        <v>0.40999999999999737</v>
      </c>
    </row>
    <row r="6" spans="1:10" x14ac:dyDescent="0.35">
      <c r="A6" t="s">
        <v>103</v>
      </c>
      <c r="B6">
        <v>90.08</v>
      </c>
      <c r="C6" s="5" t="s">
        <v>104</v>
      </c>
      <c r="D6" s="5" t="s">
        <v>102</v>
      </c>
      <c r="E6" s="5" t="s">
        <v>20</v>
      </c>
      <c r="F6" s="36">
        <v>8.69</v>
      </c>
      <c r="G6" s="36">
        <v>0</v>
      </c>
      <c r="H6" s="36">
        <v>0.55000000000000004</v>
      </c>
      <c r="I6" s="36">
        <v>0.51</v>
      </c>
      <c r="J6" s="47">
        <f t="shared" si="0"/>
        <v>0.17000000000000215</v>
      </c>
    </row>
    <row r="7" spans="1:10" x14ac:dyDescent="0.35">
      <c r="A7" t="s">
        <v>105</v>
      </c>
      <c r="B7">
        <v>90.45</v>
      </c>
      <c r="C7" s="5" t="s">
        <v>106</v>
      </c>
      <c r="D7" s="5" t="s">
        <v>107</v>
      </c>
      <c r="E7" s="5" t="s">
        <v>20</v>
      </c>
      <c r="F7" s="47">
        <v>8.4700000000000006</v>
      </c>
      <c r="G7" s="47">
        <v>0</v>
      </c>
      <c r="H7" s="47">
        <v>0.16</v>
      </c>
      <c r="I7" s="47">
        <v>0.6402439024390244</v>
      </c>
      <c r="J7" s="47">
        <f t="shared" si="0"/>
        <v>0.27975609756097208</v>
      </c>
    </row>
    <row r="8" spans="1:10" x14ac:dyDescent="0.35">
      <c r="A8" t="s">
        <v>108</v>
      </c>
      <c r="B8">
        <v>90.47</v>
      </c>
      <c r="C8" s="5" t="s">
        <v>109</v>
      </c>
      <c r="D8" s="5" t="s">
        <v>110</v>
      </c>
      <c r="E8" s="5" t="s">
        <v>20</v>
      </c>
      <c r="F8" s="36">
        <v>8.6</v>
      </c>
      <c r="G8" s="36">
        <v>0</v>
      </c>
      <c r="H8" s="36">
        <v>0.1</v>
      </c>
      <c r="I8" s="36">
        <v>0.6</v>
      </c>
      <c r="J8" s="47">
        <f t="shared" si="0"/>
        <v>0.23000000000000154</v>
      </c>
    </row>
    <row r="9" spans="1:10" x14ac:dyDescent="0.35">
      <c r="A9" t="s">
        <v>111</v>
      </c>
      <c r="B9">
        <v>91.19</v>
      </c>
      <c r="C9" s="5" t="s">
        <v>112</v>
      </c>
      <c r="D9" s="5" t="s">
        <v>113</v>
      </c>
      <c r="E9" s="5" t="s">
        <v>20</v>
      </c>
      <c r="F9" s="36">
        <v>7.18</v>
      </c>
      <c r="G9" s="36">
        <v>0</v>
      </c>
      <c r="H9" s="36">
        <v>0.66</v>
      </c>
      <c r="I9" s="36">
        <v>0.5</v>
      </c>
      <c r="J9" s="47">
        <f t="shared" si="0"/>
        <v>0.47000000000000253</v>
      </c>
    </row>
    <row r="10" spans="1:10" x14ac:dyDescent="0.35">
      <c r="A10" t="s">
        <v>114</v>
      </c>
      <c r="B10">
        <v>90.4</v>
      </c>
      <c r="C10" s="5" t="s">
        <v>115</v>
      </c>
      <c r="D10" s="5" t="s">
        <v>116</v>
      </c>
      <c r="E10" s="5" t="s">
        <v>20</v>
      </c>
      <c r="F10" s="47">
        <v>7.22</v>
      </c>
      <c r="G10" s="47">
        <v>0</v>
      </c>
      <c r="H10" s="47">
        <v>0.91</v>
      </c>
      <c r="I10" s="47">
        <f>0.5*420/329</f>
        <v>0.63829787234042556</v>
      </c>
      <c r="J10" s="47">
        <f>100-B10-F10-G10-H10-I10</f>
        <v>0.83170212765956886</v>
      </c>
    </row>
    <row r="11" spans="1:10" x14ac:dyDescent="0.35">
      <c r="A11" t="s">
        <v>117</v>
      </c>
      <c r="B11">
        <v>91.37</v>
      </c>
      <c r="C11" s="5" t="s">
        <v>118</v>
      </c>
      <c r="D11" s="5" t="s">
        <v>119</v>
      </c>
      <c r="E11" s="5" t="s">
        <v>20</v>
      </c>
      <c r="F11" s="47">
        <v>7.7</v>
      </c>
      <c r="G11" s="47">
        <v>0</v>
      </c>
      <c r="H11" s="47">
        <v>0.09</v>
      </c>
      <c r="I11" s="47">
        <f>0.5*420/319</f>
        <v>0.65830721003134796</v>
      </c>
      <c r="J11" s="47">
        <f>100-B11-F11-G11-H11-I11</f>
        <v>0.18169278996864735</v>
      </c>
    </row>
    <row r="14" spans="1:10" x14ac:dyDescent="0.35">
      <c r="A14" s="3" t="s">
        <v>50</v>
      </c>
    </row>
    <row r="15" spans="1:10" x14ac:dyDescent="0.35">
      <c r="A15" s="4" t="s">
        <v>51</v>
      </c>
      <c r="B15" s="4" t="s">
        <v>52</v>
      </c>
      <c r="C15" s="4" t="s">
        <v>14</v>
      </c>
      <c r="D15" s="4" t="s">
        <v>15</v>
      </c>
      <c r="E15" s="4" t="s">
        <v>16</v>
      </c>
    </row>
    <row r="16" spans="1:10" x14ac:dyDescent="0.35">
      <c r="A16" t="s">
        <v>66</v>
      </c>
      <c r="B16">
        <v>900</v>
      </c>
      <c r="C16" s="5" t="s">
        <v>120</v>
      </c>
      <c r="D16" s="5" t="s">
        <v>121</v>
      </c>
      <c r="E16" s="5" t="s">
        <v>20</v>
      </c>
    </row>
    <row r="17" spans="1:5" x14ac:dyDescent="0.35">
      <c r="A17" t="s">
        <v>122</v>
      </c>
      <c r="B17">
        <v>884.4</v>
      </c>
      <c r="C17" s="5" t="s">
        <v>123</v>
      </c>
      <c r="D17" s="5" t="s">
        <v>124</v>
      </c>
      <c r="E17" s="5" t="s">
        <v>20</v>
      </c>
    </row>
    <row r="18" spans="1:5" x14ac:dyDescent="0.35">
      <c r="A18" t="s">
        <v>103</v>
      </c>
      <c r="B18">
        <v>2017</v>
      </c>
      <c r="C18" s="5" t="s">
        <v>125</v>
      </c>
      <c r="D18" s="5" t="s">
        <v>126</v>
      </c>
      <c r="E18" s="5" t="s">
        <v>20</v>
      </c>
    </row>
    <row r="19" spans="1:5" x14ac:dyDescent="0.35">
      <c r="A19" t="s">
        <v>105</v>
      </c>
      <c r="B19">
        <v>2064.9</v>
      </c>
      <c r="C19" s="5" t="s">
        <v>127</v>
      </c>
      <c r="D19" s="5" t="s">
        <v>128</v>
      </c>
      <c r="E19" s="5" t="s">
        <v>20</v>
      </c>
    </row>
    <row r="20" spans="1:5" x14ac:dyDescent="0.35">
      <c r="A20" t="s">
        <v>108</v>
      </c>
      <c r="B20">
        <v>896</v>
      </c>
      <c r="C20" s="5" t="s">
        <v>129</v>
      </c>
      <c r="D20" s="5" t="s">
        <v>130</v>
      </c>
      <c r="E20" s="5" t="s">
        <v>20</v>
      </c>
    </row>
    <row r="21" spans="1:5" x14ac:dyDescent="0.35">
      <c r="A21" t="s">
        <v>111</v>
      </c>
      <c r="B21">
        <v>1683</v>
      </c>
      <c r="C21" s="5" t="s">
        <v>131</v>
      </c>
      <c r="D21" s="5" t="s">
        <v>132</v>
      </c>
      <c r="E21" s="5" t="s">
        <v>20</v>
      </c>
    </row>
    <row r="22" spans="1:5" x14ac:dyDescent="0.35">
      <c r="A22" t="s">
        <v>114</v>
      </c>
      <c r="B22">
        <v>2199</v>
      </c>
      <c r="C22" s="5" t="s">
        <v>133</v>
      </c>
      <c r="D22" s="5" t="s">
        <v>134</v>
      </c>
      <c r="E22" s="5" t="s">
        <v>20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5">
    <tabColor rgb="FFFFFF00"/>
  </sheetPr>
  <dimension ref="A1:J33"/>
  <sheetViews>
    <sheetView tabSelected="1" topLeftCell="A4" workbookViewId="0">
      <selection activeCell="C16" sqref="C16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ht="16.5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503</v>
      </c>
      <c r="G2" s="44" t="s">
        <v>504</v>
      </c>
      <c r="H2" s="44" t="s">
        <v>505</v>
      </c>
      <c r="I2" s="44" t="s">
        <v>506</v>
      </c>
      <c r="J2" s="44" t="s">
        <v>507</v>
      </c>
    </row>
    <row r="3" spans="1:10" x14ac:dyDescent="0.35">
      <c r="A3" t="s">
        <v>77</v>
      </c>
      <c r="B3">
        <v>89.08</v>
      </c>
      <c r="C3" s="5" t="s">
        <v>78</v>
      </c>
      <c r="D3" s="5" t="s">
        <v>135</v>
      </c>
      <c r="E3" s="5" t="s">
        <v>20</v>
      </c>
      <c r="F3" s="45">
        <v>10.28</v>
      </c>
      <c r="G3" s="45">
        <v>0</v>
      </c>
      <c r="H3" s="45">
        <v>2.8000000000000001E-2</v>
      </c>
      <c r="I3" s="45">
        <f>0.5*230/218.5</f>
        <v>0.52631578947368418</v>
      </c>
      <c r="J3" s="45">
        <f t="shared" ref="J3:J15" si="0">100-B3-F3-G3-H3-I3</f>
        <v>8.5684210526318139E-2</v>
      </c>
    </row>
    <row r="4" spans="1:10" x14ac:dyDescent="0.35">
      <c r="A4" t="s">
        <v>80</v>
      </c>
      <c r="B4">
        <v>90.41</v>
      </c>
      <c r="C4" s="5" t="s">
        <v>81</v>
      </c>
      <c r="D4" s="5" t="s">
        <v>136</v>
      </c>
      <c r="E4" s="5" t="s">
        <v>20</v>
      </c>
      <c r="F4" s="45">
        <v>9.0399999999999991</v>
      </c>
      <c r="G4" s="45">
        <v>0</v>
      </c>
      <c r="H4" s="45">
        <v>0.04</v>
      </c>
      <c r="I4" s="45">
        <f>0.5*230/230</f>
        <v>0.5</v>
      </c>
      <c r="J4" s="45">
        <f t="shared" si="0"/>
        <v>1.0000000000004228E-2</v>
      </c>
    </row>
    <row r="5" spans="1:10" x14ac:dyDescent="0.35">
      <c r="A5" t="s">
        <v>83</v>
      </c>
      <c r="B5">
        <v>88.42</v>
      </c>
      <c r="C5" s="5" t="s">
        <v>84</v>
      </c>
      <c r="D5" s="5" t="s">
        <v>137</v>
      </c>
      <c r="E5" s="5" t="s">
        <v>20</v>
      </c>
      <c r="F5" s="45">
        <v>9.74</v>
      </c>
      <c r="G5" s="45">
        <v>0</v>
      </c>
      <c r="H5" s="45">
        <v>1.17</v>
      </c>
      <c r="I5" s="45">
        <f>0.5*230/199</f>
        <v>0.57788944723618085</v>
      </c>
      <c r="J5" s="45">
        <f t="shared" si="0"/>
        <v>9.2110552763817299E-2</v>
      </c>
    </row>
    <row r="6" spans="1:10" x14ac:dyDescent="0.35">
      <c r="A6" t="s">
        <v>138</v>
      </c>
      <c r="B6">
        <v>89.43</v>
      </c>
      <c r="C6" s="5" t="s">
        <v>139</v>
      </c>
      <c r="D6" s="5" t="s">
        <v>140</v>
      </c>
      <c r="E6" s="5" t="s">
        <v>20</v>
      </c>
      <c r="F6" s="35">
        <v>9.92</v>
      </c>
      <c r="G6" s="35">
        <v>0</v>
      </c>
      <c r="H6" s="35">
        <v>0.1</v>
      </c>
      <c r="I6" s="35">
        <v>0.54</v>
      </c>
      <c r="J6" s="45">
        <f t="shared" si="0"/>
        <v>9.9999999999932365E-3</v>
      </c>
    </row>
    <row r="7" spans="1:10" x14ac:dyDescent="0.35">
      <c r="A7" t="s">
        <v>94</v>
      </c>
      <c r="B7" s="36">
        <v>89.3</v>
      </c>
      <c r="C7" s="5" t="s">
        <v>95</v>
      </c>
      <c r="D7" s="5" t="s">
        <v>141</v>
      </c>
      <c r="E7" s="5" t="s">
        <v>20</v>
      </c>
      <c r="F7" s="45">
        <v>10.07</v>
      </c>
      <c r="G7" s="45">
        <v>0</v>
      </c>
      <c r="H7" s="45">
        <v>0.11</v>
      </c>
      <c r="I7" s="45">
        <f>0.5*220/220</f>
        <v>0.5</v>
      </c>
      <c r="J7" s="45">
        <f t="shared" si="0"/>
        <v>2.0000000000002571E-2</v>
      </c>
    </row>
    <row r="8" spans="1:10" x14ac:dyDescent="0.35">
      <c r="A8" t="s">
        <v>97</v>
      </c>
      <c r="B8">
        <v>90.56</v>
      </c>
      <c r="C8" s="5" t="s">
        <v>98</v>
      </c>
      <c r="D8" s="5" t="s">
        <v>142</v>
      </c>
      <c r="E8" s="5" t="s">
        <v>20</v>
      </c>
      <c r="F8" s="45">
        <v>8.7100000000000009</v>
      </c>
      <c r="G8" s="45">
        <v>0</v>
      </c>
      <c r="H8" s="45">
        <v>0.17</v>
      </c>
      <c r="I8" s="45">
        <f>0.5*220/199</f>
        <v>0.55276381909547734</v>
      </c>
      <c r="J8" s="45">
        <f t="shared" si="0"/>
        <v>7.2361809045194958E-3</v>
      </c>
    </row>
    <row r="9" spans="1:10" x14ac:dyDescent="0.35">
      <c r="A9" t="s">
        <v>100</v>
      </c>
      <c r="B9">
        <v>89.91</v>
      </c>
      <c r="C9" s="5" t="s">
        <v>101</v>
      </c>
      <c r="D9" s="5" t="s">
        <v>143</v>
      </c>
      <c r="E9" s="5" t="s">
        <v>20</v>
      </c>
      <c r="F9" s="45">
        <v>9.27</v>
      </c>
      <c r="G9" s="45">
        <v>0</v>
      </c>
      <c r="H9" s="45">
        <v>0.2</v>
      </c>
      <c r="I9" s="45">
        <f>0.5*230/205</f>
        <v>0.56097560975609762</v>
      </c>
      <c r="J9" s="45">
        <f t="shared" si="0"/>
        <v>5.9024390243906266E-2</v>
      </c>
    </row>
    <row r="10" spans="1:10" x14ac:dyDescent="0.35">
      <c r="A10" t="s">
        <v>103</v>
      </c>
      <c r="B10">
        <v>89.35</v>
      </c>
      <c r="C10" s="5" t="s">
        <v>104</v>
      </c>
      <c r="D10" s="5" t="s">
        <v>144</v>
      </c>
      <c r="E10" s="5" t="s">
        <v>20</v>
      </c>
      <c r="F10" s="45">
        <v>10.029999999999999</v>
      </c>
      <c r="G10" s="45">
        <v>0</v>
      </c>
      <c r="H10" s="45">
        <v>0.1</v>
      </c>
      <c r="I10" s="45">
        <f>0.5*220/219</f>
        <v>0.50228310502283102</v>
      </c>
      <c r="J10" s="45">
        <f t="shared" si="0"/>
        <v>1.7716894977175324E-2</v>
      </c>
    </row>
    <row r="11" spans="1:10" x14ac:dyDescent="0.35">
      <c r="A11" t="s">
        <v>105</v>
      </c>
      <c r="B11">
        <v>89.32</v>
      </c>
      <c r="C11" s="5" t="s">
        <v>106</v>
      </c>
      <c r="D11" s="5" t="s">
        <v>145</v>
      </c>
      <c r="E11" s="5" t="s">
        <v>20</v>
      </c>
      <c r="F11" s="35">
        <v>9.34</v>
      </c>
      <c r="G11" s="35">
        <v>0.15</v>
      </c>
      <c r="H11" s="35">
        <v>0.67</v>
      </c>
      <c r="I11" s="35">
        <v>0.51</v>
      </c>
      <c r="J11" s="45">
        <f t="shared" si="0"/>
        <v>1.0000000000007003E-2</v>
      </c>
    </row>
    <row r="12" spans="1:10" x14ac:dyDescent="0.35">
      <c r="A12" t="s">
        <v>108</v>
      </c>
      <c r="B12">
        <v>90.11</v>
      </c>
      <c r="C12" s="5" t="s">
        <v>109</v>
      </c>
      <c r="D12" s="5" t="s">
        <v>146</v>
      </c>
      <c r="E12" s="5" t="s">
        <v>20</v>
      </c>
      <c r="F12" s="45">
        <v>9.2200000000000006</v>
      </c>
      <c r="G12" s="45">
        <v>0</v>
      </c>
      <c r="H12" s="45">
        <v>0.12</v>
      </c>
      <c r="I12" s="45">
        <f>0.5*220/203.5</f>
        <v>0.54054054054054057</v>
      </c>
      <c r="J12" s="45">
        <f t="shared" si="0"/>
        <v>9.4594594594593628E-3</v>
      </c>
    </row>
    <row r="13" spans="1:10" x14ac:dyDescent="0.35">
      <c r="A13" t="s">
        <v>111</v>
      </c>
      <c r="B13">
        <v>89.65</v>
      </c>
      <c r="C13" s="5" t="s">
        <v>112</v>
      </c>
      <c r="D13" s="5" t="s">
        <v>147</v>
      </c>
      <c r="E13" s="5" t="s">
        <v>20</v>
      </c>
      <c r="F13" s="35">
        <v>9.5500000000000007</v>
      </c>
      <c r="G13" s="45">
        <v>0</v>
      </c>
      <c r="H13" s="45">
        <v>0.12</v>
      </c>
      <c r="I13" s="45">
        <f>0.5*230/182</f>
        <v>0.63186813186813184</v>
      </c>
      <c r="J13" s="45">
        <f t="shared" si="0"/>
        <v>4.8131868131861766E-2</v>
      </c>
    </row>
    <row r="14" spans="1:10" x14ac:dyDescent="0.35">
      <c r="A14" t="s">
        <v>114</v>
      </c>
      <c r="B14">
        <v>90.037000000000006</v>
      </c>
      <c r="C14" s="5" t="s">
        <v>115</v>
      </c>
      <c r="D14" s="5" t="s">
        <v>148</v>
      </c>
      <c r="E14" s="5" t="s">
        <v>20</v>
      </c>
      <c r="F14" s="45">
        <v>8.8587000000000007</v>
      </c>
      <c r="G14" s="45">
        <v>0</v>
      </c>
      <c r="H14" s="45">
        <v>0.111</v>
      </c>
      <c r="I14" s="45">
        <f>0.5*220/214.57</f>
        <v>0.5126532134035513</v>
      </c>
      <c r="J14" s="45">
        <f t="shared" si="0"/>
        <v>0.48064678659644189</v>
      </c>
    </row>
    <row r="15" spans="1:10" x14ac:dyDescent="0.35">
      <c r="A15" t="s">
        <v>117</v>
      </c>
      <c r="B15">
        <v>90.05</v>
      </c>
      <c r="C15" s="5" t="s">
        <v>118</v>
      </c>
      <c r="D15" s="5" t="s">
        <v>149</v>
      </c>
      <c r="E15" s="5" t="s">
        <v>20</v>
      </c>
      <c r="F15" s="45">
        <v>9.2200000000000006</v>
      </c>
      <c r="G15" s="45">
        <v>0</v>
      </c>
      <c r="H15" s="45">
        <v>0.21</v>
      </c>
      <c r="I15" s="45">
        <f>0.5*220/216</f>
        <v>0.5092592592592593</v>
      </c>
      <c r="J15" s="45">
        <f t="shared" si="0"/>
        <v>1.0740740740742938E-2</v>
      </c>
    </row>
    <row r="16" spans="1:10" x14ac:dyDescent="0.35">
      <c r="A16" s="61">
        <v>17</v>
      </c>
      <c r="C16" s="5" t="s">
        <v>499</v>
      </c>
      <c r="D16" s="5"/>
      <c r="E16" s="5"/>
    </row>
    <row r="17" spans="1:5" x14ac:dyDescent="0.35">
      <c r="A17" s="34" t="s">
        <v>150</v>
      </c>
      <c r="B17">
        <v>90.83</v>
      </c>
      <c r="C17" s="5" t="s">
        <v>151</v>
      </c>
      <c r="D17" s="5" t="s">
        <v>152</v>
      </c>
      <c r="E17" s="5" t="s">
        <v>20</v>
      </c>
    </row>
    <row r="18" spans="1:5" x14ac:dyDescent="0.35">
      <c r="A18" s="61">
        <v>19</v>
      </c>
      <c r="C18" s="5" t="s">
        <v>500</v>
      </c>
      <c r="D18" s="5"/>
      <c r="E18" s="5"/>
    </row>
    <row r="19" spans="1:5" x14ac:dyDescent="0.35">
      <c r="A19" s="61">
        <v>20</v>
      </c>
      <c r="C19" s="5" t="s">
        <v>501</v>
      </c>
      <c r="D19" s="5"/>
      <c r="E19" s="5"/>
    </row>
    <row r="22" spans="1:5" x14ac:dyDescent="0.35">
      <c r="A22" s="3" t="s">
        <v>50</v>
      </c>
    </row>
    <row r="23" spans="1:5" x14ac:dyDescent="0.35">
      <c r="A23" s="4" t="s">
        <v>51</v>
      </c>
      <c r="B23" s="4" t="s">
        <v>52</v>
      </c>
      <c r="C23" s="4" t="s">
        <v>14</v>
      </c>
      <c r="D23" s="4" t="s">
        <v>15</v>
      </c>
      <c r="E23" s="4" t="s">
        <v>16</v>
      </c>
    </row>
    <row r="24" spans="1:5" x14ac:dyDescent="0.35">
      <c r="A24" t="s">
        <v>58</v>
      </c>
      <c r="B24" s="27">
        <v>2963.7</v>
      </c>
      <c r="C24" s="28" t="s">
        <v>90</v>
      </c>
      <c r="D24" s="5" t="s">
        <v>153</v>
      </c>
      <c r="E24" s="28" t="s">
        <v>20</v>
      </c>
    </row>
    <row r="25" spans="1:5" x14ac:dyDescent="0.35">
      <c r="A25" t="s">
        <v>60</v>
      </c>
      <c r="B25" s="30">
        <v>2798.9</v>
      </c>
      <c r="C25" s="32" t="s">
        <v>92</v>
      </c>
      <c r="D25" s="13">
        <v>43676</v>
      </c>
      <c r="E25" s="32" t="s">
        <v>20</v>
      </c>
    </row>
    <row r="26" spans="1:5" x14ac:dyDescent="0.35">
      <c r="A26" t="s">
        <v>62</v>
      </c>
      <c r="B26" s="30">
        <v>2967.4</v>
      </c>
      <c r="C26" s="32" t="s">
        <v>155</v>
      </c>
      <c r="D26" s="13">
        <v>43377</v>
      </c>
      <c r="E26" s="32" t="s">
        <v>20</v>
      </c>
    </row>
    <row r="27" spans="1:5" x14ac:dyDescent="0.35">
      <c r="A27" t="s">
        <v>64</v>
      </c>
      <c r="B27" s="27">
        <v>2905.6</v>
      </c>
      <c r="C27" s="28" t="s">
        <v>156</v>
      </c>
      <c r="D27" s="5" t="s">
        <v>157</v>
      </c>
      <c r="E27" s="28"/>
    </row>
    <row r="28" spans="1:5" x14ac:dyDescent="0.35">
      <c r="A28" t="s">
        <v>66</v>
      </c>
      <c r="B28" s="30">
        <v>2562.96</v>
      </c>
      <c r="C28" s="31" t="s">
        <v>120</v>
      </c>
      <c r="D28" s="6">
        <v>42326</v>
      </c>
      <c r="E28" s="31" t="s">
        <v>20</v>
      </c>
    </row>
    <row r="29" spans="1:5" x14ac:dyDescent="0.35">
      <c r="A29" t="s">
        <v>158</v>
      </c>
      <c r="B29" s="30">
        <v>2462.6</v>
      </c>
      <c r="C29" s="31" t="s">
        <v>159</v>
      </c>
      <c r="D29" s="6">
        <v>43196</v>
      </c>
      <c r="E29" s="31" t="s">
        <v>20</v>
      </c>
    </row>
    <row r="30" spans="1:5" x14ac:dyDescent="0.35">
      <c r="A30" t="s">
        <v>122</v>
      </c>
      <c r="B30" s="27">
        <v>1047.9000000000001</v>
      </c>
      <c r="C30" s="28" t="s">
        <v>123</v>
      </c>
      <c r="D30" s="5" t="s">
        <v>160</v>
      </c>
      <c r="E30" s="28"/>
    </row>
    <row r="31" spans="1:5" x14ac:dyDescent="0.35">
      <c r="A31" t="s">
        <v>100</v>
      </c>
      <c r="B31" s="29">
        <v>909</v>
      </c>
      <c r="C31" s="32" t="s">
        <v>161</v>
      </c>
      <c r="D31" s="13">
        <v>46020</v>
      </c>
      <c r="E31" s="32" t="s">
        <v>496</v>
      </c>
    </row>
    <row r="32" spans="1:5" x14ac:dyDescent="0.35">
      <c r="A32" t="s">
        <v>103</v>
      </c>
      <c r="B32" s="27">
        <v>898.4</v>
      </c>
      <c r="C32" s="28" t="s">
        <v>125</v>
      </c>
      <c r="D32" s="5" t="s">
        <v>162</v>
      </c>
      <c r="E32" s="28"/>
    </row>
    <row r="33" spans="1:5" x14ac:dyDescent="0.35">
      <c r="A33" t="s">
        <v>105</v>
      </c>
      <c r="B33" s="30">
        <v>1041</v>
      </c>
      <c r="C33" s="32" t="s">
        <v>127</v>
      </c>
      <c r="D33" s="33" t="s">
        <v>494</v>
      </c>
      <c r="E33" s="32" t="s">
        <v>495</v>
      </c>
    </row>
  </sheetData>
  <phoneticPr fontId="12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6"/>
  <dimension ref="A1:J24"/>
  <sheetViews>
    <sheetView workbookViewId="0">
      <selection activeCell="G15" sqref="G15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74</v>
      </c>
      <c r="B3">
        <v>87.27</v>
      </c>
      <c r="C3" s="5" t="s">
        <v>75</v>
      </c>
      <c r="D3" s="5" t="s">
        <v>163</v>
      </c>
      <c r="E3" s="5" t="s">
        <v>20</v>
      </c>
      <c r="F3" s="50">
        <v>11.74</v>
      </c>
      <c r="G3" s="50">
        <v>0</v>
      </c>
      <c r="H3" s="50">
        <v>0</v>
      </c>
      <c r="I3" s="50">
        <v>0.99000000000000377</v>
      </c>
      <c r="J3" s="51">
        <v>0</v>
      </c>
    </row>
    <row r="4" spans="1:10" x14ac:dyDescent="0.35">
      <c r="A4" t="s">
        <v>77</v>
      </c>
      <c r="B4">
        <v>88.08</v>
      </c>
      <c r="C4" s="5" t="s">
        <v>78</v>
      </c>
      <c r="D4" s="5" t="s">
        <v>164</v>
      </c>
      <c r="E4" s="5" t="s">
        <v>20</v>
      </c>
      <c r="F4" s="50">
        <v>11.32</v>
      </c>
      <c r="G4" s="50">
        <v>0</v>
      </c>
      <c r="H4" s="50">
        <v>0</v>
      </c>
      <c r="I4" s="50">
        <v>0.60000000000000142</v>
      </c>
      <c r="J4" s="51">
        <v>0</v>
      </c>
    </row>
    <row r="5" spans="1:10" x14ac:dyDescent="0.35">
      <c r="A5" t="s">
        <v>100</v>
      </c>
      <c r="B5">
        <v>91.5</v>
      </c>
      <c r="C5" s="5" t="s">
        <v>101</v>
      </c>
      <c r="D5" s="5" t="s">
        <v>165</v>
      </c>
      <c r="E5" s="5" t="s">
        <v>20</v>
      </c>
      <c r="F5" s="50">
        <v>7.57</v>
      </c>
      <c r="G5" s="50">
        <v>0</v>
      </c>
      <c r="H5" s="50">
        <v>0</v>
      </c>
      <c r="I5" s="50">
        <v>0.93</v>
      </c>
      <c r="J5" s="51">
        <v>0</v>
      </c>
    </row>
    <row r="6" spans="1:10" x14ac:dyDescent="0.35">
      <c r="A6" t="s">
        <v>103</v>
      </c>
      <c r="B6">
        <v>92.55</v>
      </c>
      <c r="C6" s="5" t="s">
        <v>104</v>
      </c>
      <c r="D6" s="5" t="s">
        <v>166</v>
      </c>
      <c r="E6" s="5" t="s">
        <v>20</v>
      </c>
      <c r="F6" s="50">
        <v>6.64</v>
      </c>
      <c r="G6" s="50">
        <v>0</v>
      </c>
      <c r="H6" s="50">
        <v>0.18</v>
      </c>
      <c r="I6" s="50">
        <v>0.45405405405405408</v>
      </c>
      <c r="J6" s="51">
        <v>0.17594594594594914</v>
      </c>
    </row>
    <row r="7" spans="1:10" x14ac:dyDescent="0.35">
      <c r="A7" t="s">
        <v>105</v>
      </c>
      <c r="B7">
        <v>90.98</v>
      </c>
      <c r="C7" s="5" t="s">
        <v>106</v>
      </c>
      <c r="D7" s="48">
        <v>46017</v>
      </c>
      <c r="E7" s="5" t="s">
        <v>20</v>
      </c>
      <c r="F7" s="51">
        <v>7.93</v>
      </c>
      <c r="G7" s="51">
        <v>0</v>
      </c>
      <c r="H7" s="51">
        <v>0.2</v>
      </c>
      <c r="I7" s="50">
        <v>0.55629139072847678</v>
      </c>
      <c r="J7" s="51">
        <v>0.33370860927151957</v>
      </c>
    </row>
    <row r="8" spans="1:10" x14ac:dyDescent="0.35">
      <c r="A8" t="s">
        <v>108</v>
      </c>
      <c r="B8">
        <v>92.55</v>
      </c>
      <c r="C8" s="5" t="s">
        <v>109</v>
      </c>
      <c r="D8" s="5" t="s">
        <v>167</v>
      </c>
      <c r="E8" s="5" t="s">
        <v>20</v>
      </c>
      <c r="F8" s="50">
        <v>6.67</v>
      </c>
      <c r="G8" s="50">
        <v>0</v>
      </c>
      <c r="H8" s="50">
        <v>0.28000000000000003</v>
      </c>
      <c r="I8" s="50">
        <v>0.4</v>
      </c>
      <c r="J8" s="51">
        <v>0.10000000000000286</v>
      </c>
    </row>
    <row r="9" spans="1:10" x14ac:dyDescent="0.35">
      <c r="A9" t="s">
        <v>111</v>
      </c>
      <c r="B9">
        <v>91.87</v>
      </c>
      <c r="C9" s="5" t="s">
        <v>112</v>
      </c>
      <c r="D9" s="5" t="s">
        <v>168</v>
      </c>
      <c r="E9" s="5" t="s">
        <v>20</v>
      </c>
      <c r="F9" s="50">
        <v>7.42</v>
      </c>
      <c r="G9" s="50">
        <v>0</v>
      </c>
      <c r="H9" s="50">
        <v>0.2</v>
      </c>
      <c r="I9" s="50">
        <v>0.4</v>
      </c>
      <c r="J9" s="51">
        <v>0.10999999999999555</v>
      </c>
    </row>
    <row r="10" spans="1:10" x14ac:dyDescent="0.35">
      <c r="A10" t="s">
        <v>114</v>
      </c>
      <c r="B10" s="8">
        <v>93.63</v>
      </c>
      <c r="C10" s="5" t="s">
        <v>115</v>
      </c>
      <c r="D10" s="49">
        <v>45987</v>
      </c>
      <c r="E10" s="5" t="s">
        <v>498</v>
      </c>
      <c r="F10" s="50">
        <v>5.24</v>
      </c>
      <c r="G10" s="51">
        <v>0</v>
      </c>
      <c r="H10" s="50">
        <v>0.36</v>
      </c>
      <c r="I10" s="50">
        <v>0.49411764705882355</v>
      </c>
      <c r="J10" s="51">
        <v>0.2758823529411808</v>
      </c>
    </row>
    <row r="11" spans="1:10" x14ac:dyDescent="0.35">
      <c r="A11" t="s">
        <v>117</v>
      </c>
      <c r="B11">
        <v>91.89</v>
      </c>
      <c r="C11" s="5" t="s">
        <v>118</v>
      </c>
      <c r="D11" s="48">
        <v>44210</v>
      </c>
      <c r="E11" s="5" t="s">
        <v>498</v>
      </c>
      <c r="F11" s="50">
        <v>7.41</v>
      </c>
      <c r="G11" s="50">
        <v>0</v>
      </c>
      <c r="H11" s="50">
        <v>0.11</v>
      </c>
      <c r="I11" s="50">
        <v>0.4329896907216495</v>
      </c>
      <c r="J11" s="51">
        <v>0.1570103092783498</v>
      </c>
    </row>
    <row r="14" spans="1:10" x14ac:dyDescent="0.35">
      <c r="A14" s="3" t="s">
        <v>50</v>
      </c>
    </row>
    <row r="15" spans="1:10" x14ac:dyDescent="0.35">
      <c r="A15" s="4" t="s">
        <v>51</v>
      </c>
      <c r="B15" s="4" t="s">
        <v>52</v>
      </c>
      <c r="C15" s="4" t="s">
        <v>14</v>
      </c>
      <c r="D15" s="4" t="s">
        <v>15</v>
      </c>
      <c r="E15" s="4" t="s">
        <v>16</v>
      </c>
    </row>
    <row r="16" spans="1:10" x14ac:dyDescent="0.35">
      <c r="A16" t="s">
        <v>58</v>
      </c>
      <c r="B16">
        <v>899</v>
      </c>
      <c r="C16" s="5" t="s">
        <v>90</v>
      </c>
      <c r="D16" s="5" t="s">
        <v>169</v>
      </c>
      <c r="E16" s="5" t="s">
        <v>20</v>
      </c>
    </row>
    <row r="17" spans="1:5" x14ac:dyDescent="0.35">
      <c r="A17" t="s">
        <v>62</v>
      </c>
      <c r="B17">
        <v>910</v>
      </c>
      <c r="C17" s="5" t="s">
        <v>155</v>
      </c>
      <c r="D17" s="5" t="s">
        <v>170</v>
      </c>
      <c r="E17" s="5" t="s">
        <v>171</v>
      </c>
    </row>
    <row r="18" spans="1:5" x14ac:dyDescent="0.35">
      <c r="A18" t="s">
        <v>64</v>
      </c>
      <c r="B18">
        <v>1451</v>
      </c>
      <c r="C18" s="5" t="s">
        <v>156</v>
      </c>
      <c r="D18" s="5" t="s">
        <v>172</v>
      </c>
      <c r="E18" s="5" t="s">
        <v>20</v>
      </c>
    </row>
    <row r="19" spans="1:5" x14ac:dyDescent="0.35">
      <c r="A19" t="s">
        <v>66</v>
      </c>
      <c r="B19">
        <v>1138.9000000000001</v>
      </c>
      <c r="C19" s="5" t="s">
        <v>120</v>
      </c>
      <c r="D19" s="5" t="s">
        <v>173</v>
      </c>
      <c r="E19" s="5" t="s">
        <v>20</v>
      </c>
    </row>
    <row r="20" spans="1:5" x14ac:dyDescent="0.35">
      <c r="A20" t="s">
        <v>122</v>
      </c>
      <c r="B20">
        <v>903</v>
      </c>
      <c r="C20" s="5" t="s">
        <v>123</v>
      </c>
      <c r="D20" s="5" t="s">
        <v>174</v>
      </c>
      <c r="E20" s="5" t="s">
        <v>20</v>
      </c>
    </row>
    <row r="21" spans="1:5" x14ac:dyDescent="0.35">
      <c r="A21" t="s">
        <v>100</v>
      </c>
      <c r="B21">
        <v>987</v>
      </c>
      <c r="C21" s="5" t="s">
        <v>161</v>
      </c>
      <c r="D21" s="5" t="s">
        <v>175</v>
      </c>
      <c r="E21" s="5" t="s">
        <v>20</v>
      </c>
    </row>
    <row r="22" spans="1:5" x14ac:dyDescent="0.35">
      <c r="A22" t="s">
        <v>103</v>
      </c>
      <c r="B22">
        <v>1112</v>
      </c>
      <c r="C22" s="5" t="s">
        <v>125</v>
      </c>
      <c r="D22" s="5" t="s">
        <v>176</v>
      </c>
      <c r="E22" s="5" t="s">
        <v>20</v>
      </c>
    </row>
    <row r="23" spans="1:5" x14ac:dyDescent="0.35">
      <c r="A23" t="s">
        <v>105</v>
      </c>
      <c r="B23">
        <v>1338</v>
      </c>
      <c r="C23" s="5" t="s">
        <v>127</v>
      </c>
      <c r="D23" s="5" t="s">
        <v>177</v>
      </c>
      <c r="E23" s="5" t="s">
        <v>20</v>
      </c>
    </row>
    <row r="24" spans="1:5" x14ac:dyDescent="0.35">
      <c r="A24" t="s">
        <v>108</v>
      </c>
      <c r="B24">
        <v>1625</v>
      </c>
      <c r="C24" s="5" t="s">
        <v>129</v>
      </c>
      <c r="D24" s="5" t="s">
        <v>178</v>
      </c>
      <c r="E24" s="5" t="s">
        <v>20</v>
      </c>
    </row>
  </sheetData>
  <phoneticPr fontId="12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Лист7">
    <tabColor rgb="FFFFFF00"/>
  </sheetPr>
  <dimension ref="A1:J22"/>
  <sheetViews>
    <sheetView workbookViewId="0">
      <selection activeCell="G17" sqref="G17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83</v>
      </c>
      <c r="B3">
        <v>91.49</v>
      </c>
      <c r="C3" s="7" t="s">
        <v>447</v>
      </c>
      <c r="D3" s="5" t="s">
        <v>179</v>
      </c>
      <c r="E3" s="12" t="s">
        <v>20</v>
      </c>
      <c r="F3" s="51">
        <v>7.27</v>
      </c>
      <c r="G3" s="51">
        <v>0</v>
      </c>
      <c r="H3" s="51">
        <v>0.68</v>
      </c>
      <c r="I3" s="51">
        <v>0.5</v>
      </c>
      <c r="J3" s="51">
        <v>6.0000000000005493E-2</v>
      </c>
    </row>
    <row r="4" spans="1:10" x14ac:dyDescent="0.35">
      <c r="A4" t="s">
        <v>138</v>
      </c>
      <c r="B4" s="36">
        <v>91.58</v>
      </c>
      <c r="C4" s="7" t="s">
        <v>442</v>
      </c>
      <c r="D4" s="5" t="s">
        <v>180</v>
      </c>
      <c r="E4" s="12" t="s">
        <v>20</v>
      </c>
      <c r="F4" s="51">
        <v>7.27</v>
      </c>
      <c r="G4" s="51">
        <v>0</v>
      </c>
      <c r="H4" s="51">
        <v>0.51</v>
      </c>
      <c r="I4" s="51">
        <v>0.51980198019801982</v>
      </c>
      <c r="J4" s="51">
        <v>0.1201980198019823</v>
      </c>
    </row>
    <row r="5" spans="1:10" x14ac:dyDescent="0.35">
      <c r="A5" t="s">
        <v>100</v>
      </c>
      <c r="B5">
        <v>91.45</v>
      </c>
      <c r="C5" s="7" t="s">
        <v>444</v>
      </c>
      <c r="D5" s="5" t="s">
        <v>181</v>
      </c>
      <c r="E5" s="12" t="s">
        <v>20</v>
      </c>
      <c r="F5" s="50">
        <v>7.93</v>
      </c>
      <c r="G5" s="51">
        <v>0</v>
      </c>
      <c r="H5" s="51">
        <v>0.09</v>
      </c>
      <c r="I5" s="51">
        <v>0.5</v>
      </c>
      <c r="J5" s="51">
        <v>2.9999999999997473E-2</v>
      </c>
    </row>
    <row r="6" spans="1:10" x14ac:dyDescent="0.35">
      <c r="A6" t="s">
        <v>103</v>
      </c>
      <c r="B6" s="36">
        <v>91.69</v>
      </c>
      <c r="C6" s="7" t="s">
        <v>443</v>
      </c>
      <c r="D6" s="5" t="s">
        <v>182</v>
      </c>
      <c r="E6" s="12" t="s">
        <v>20</v>
      </c>
      <c r="F6" s="51">
        <v>7.42</v>
      </c>
      <c r="G6" s="51">
        <v>0</v>
      </c>
      <c r="H6" s="51">
        <v>0.37</v>
      </c>
      <c r="I6" s="51">
        <v>0.5</v>
      </c>
      <c r="J6" s="51">
        <v>2.0000000000002349E-2</v>
      </c>
    </row>
    <row r="7" spans="1:10" x14ac:dyDescent="0.35">
      <c r="A7" t="s">
        <v>105</v>
      </c>
      <c r="B7">
        <v>91.78</v>
      </c>
      <c r="C7" s="7" t="s">
        <v>452</v>
      </c>
      <c r="D7" s="5" t="s">
        <v>183</v>
      </c>
      <c r="E7" s="12" t="s">
        <v>20</v>
      </c>
      <c r="F7" s="50">
        <v>7.49</v>
      </c>
      <c r="G7" s="51">
        <v>0</v>
      </c>
      <c r="H7" s="51">
        <v>0.21</v>
      </c>
      <c r="I7" s="51">
        <v>0.50200803212851408</v>
      </c>
      <c r="J7" s="51">
        <v>1.7991967871484604E-2</v>
      </c>
    </row>
    <row r="8" spans="1:10" x14ac:dyDescent="0.35">
      <c r="A8" t="s">
        <v>108</v>
      </c>
      <c r="B8">
        <v>91.59</v>
      </c>
      <c r="C8" s="7" t="s">
        <v>446</v>
      </c>
      <c r="D8" s="5" t="s">
        <v>184</v>
      </c>
      <c r="E8" s="12" t="s">
        <v>20</v>
      </c>
      <c r="F8" s="51">
        <v>7.48</v>
      </c>
      <c r="G8" s="51">
        <v>0</v>
      </c>
      <c r="H8" s="51">
        <v>0.19</v>
      </c>
      <c r="I8" s="51">
        <v>0.5</v>
      </c>
      <c r="J8" s="51">
        <v>0.23999999999999622</v>
      </c>
    </row>
    <row r="9" spans="1:10" x14ac:dyDescent="0.35">
      <c r="A9" t="s">
        <v>111</v>
      </c>
      <c r="B9">
        <v>92.33</v>
      </c>
      <c r="C9" s="7" t="s">
        <v>453</v>
      </c>
      <c r="D9" s="5" t="s">
        <v>185</v>
      </c>
      <c r="E9" s="12" t="s">
        <v>20</v>
      </c>
      <c r="F9" s="51">
        <v>7.07</v>
      </c>
      <c r="G9" s="51">
        <v>0</v>
      </c>
      <c r="H9" s="51">
        <v>7.0000000000000007E-2</v>
      </c>
      <c r="I9" s="51">
        <v>0.47945205479452052</v>
      </c>
      <c r="J9" s="51">
        <v>5.0547945205480838E-2</v>
      </c>
    </row>
    <row r="10" spans="1:10" x14ac:dyDescent="0.35">
      <c r="A10" t="s">
        <v>114</v>
      </c>
      <c r="B10" s="36">
        <v>91.61</v>
      </c>
      <c r="C10" s="7" t="s">
        <v>454</v>
      </c>
      <c r="D10" s="5" t="s">
        <v>186</v>
      </c>
      <c r="E10" s="12" t="s">
        <v>20</v>
      </c>
      <c r="F10" s="50">
        <v>7.2</v>
      </c>
      <c r="G10" s="50" t="s">
        <v>26</v>
      </c>
      <c r="H10" s="50">
        <v>0.59</v>
      </c>
      <c r="I10" s="50">
        <v>0.57999999999999996</v>
      </c>
      <c r="J10" s="50">
        <v>2.0000000000000462E-2</v>
      </c>
    </row>
    <row r="11" spans="1:10" x14ac:dyDescent="0.35">
      <c r="A11" t="s">
        <v>117</v>
      </c>
      <c r="B11">
        <v>91.2</v>
      </c>
      <c r="C11" s="7" t="s">
        <v>455</v>
      </c>
      <c r="D11" s="5" t="s">
        <v>187</v>
      </c>
      <c r="E11" s="12" t="s">
        <v>20</v>
      </c>
      <c r="F11" s="51">
        <v>7.72</v>
      </c>
      <c r="G11" s="51">
        <v>0</v>
      </c>
      <c r="H11" s="51">
        <v>0.45</v>
      </c>
      <c r="I11" s="51">
        <v>0.52</v>
      </c>
      <c r="J11" s="51">
        <v>0.10999999999999743</v>
      </c>
    </row>
    <row r="12" spans="1:10" x14ac:dyDescent="0.35">
      <c r="A12" t="s">
        <v>188</v>
      </c>
      <c r="B12">
        <v>91.58</v>
      </c>
      <c r="C12" s="7" t="s">
        <v>456</v>
      </c>
      <c r="D12" s="5" t="s">
        <v>189</v>
      </c>
      <c r="E12" s="12" t="s">
        <v>20</v>
      </c>
      <c r="F12" s="51">
        <v>7.54</v>
      </c>
      <c r="G12" s="51">
        <v>0</v>
      </c>
      <c r="H12" s="51">
        <v>0.37</v>
      </c>
      <c r="I12" s="51">
        <v>0.5</v>
      </c>
      <c r="J12" s="51">
        <v>1.0000000000001674E-2</v>
      </c>
    </row>
    <row r="13" spans="1:10" x14ac:dyDescent="0.35">
      <c r="A13" t="s">
        <v>150</v>
      </c>
      <c r="B13">
        <v>90.55</v>
      </c>
      <c r="C13" s="7" t="s">
        <v>457</v>
      </c>
      <c r="D13" s="5" t="s">
        <v>190</v>
      </c>
      <c r="E13" s="12" t="s">
        <v>20</v>
      </c>
      <c r="F13" s="51">
        <v>8.31</v>
      </c>
      <c r="G13" s="51">
        <v>0</v>
      </c>
      <c r="H13" s="51">
        <v>0.36</v>
      </c>
      <c r="I13" s="51">
        <v>0.6</v>
      </c>
      <c r="J13" s="51">
        <v>0.18000000000000238</v>
      </c>
    </row>
    <row r="16" spans="1:10" x14ac:dyDescent="0.35">
      <c r="A16" s="3" t="s">
        <v>50</v>
      </c>
    </row>
    <row r="17" spans="1:5" x14ac:dyDescent="0.35">
      <c r="A17" s="4" t="s">
        <v>51</v>
      </c>
      <c r="B17" s="4" t="s">
        <v>52</v>
      </c>
      <c r="C17" s="4" t="s">
        <v>14</v>
      </c>
      <c r="D17" s="4" t="s">
        <v>15</v>
      </c>
      <c r="E17" s="4" t="s">
        <v>16</v>
      </c>
    </row>
    <row r="18" spans="1:5" x14ac:dyDescent="0.35">
      <c r="A18" t="s">
        <v>62</v>
      </c>
      <c r="B18" s="8">
        <v>2567</v>
      </c>
      <c r="C18" s="7" t="s">
        <v>450</v>
      </c>
      <c r="D18" s="5" t="s">
        <v>191</v>
      </c>
      <c r="E18" s="12" t="s">
        <v>20</v>
      </c>
    </row>
    <row r="19" spans="1:5" x14ac:dyDescent="0.35">
      <c r="A19" t="s">
        <v>64</v>
      </c>
      <c r="B19">
        <v>986</v>
      </c>
      <c r="C19" s="7" t="s">
        <v>451</v>
      </c>
      <c r="D19" s="6">
        <v>44247</v>
      </c>
      <c r="E19" s="12" t="s">
        <v>20</v>
      </c>
    </row>
    <row r="20" spans="1:5" x14ac:dyDescent="0.35">
      <c r="A20" t="s">
        <v>66</v>
      </c>
      <c r="B20">
        <v>1031</v>
      </c>
      <c r="C20" s="7" t="s">
        <v>445</v>
      </c>
      <c r="D20" s="5" t="s">
        <v>192</v>
      </c>
      <c r="E20" s="12" t="s">
        <v>20</v>
      </c>
    </row>
    <row r="21" spans="1:5" x14ac:dyDescent="0.35">
      <c r="A21" t="s">
        <v>158</v>
      </c>
      <c r="B21">
        <v>2239</v>
      </c>
      <c r="C21" s="7" t="s">
        <v>449</v>
      </c>
      <c r="D21" s="5" t="s">
        <v>193</v>
      </c>
      <c r="E21" s="12" t="s">
        <v>20</v>
      </c>
    </row>
    <row r="22" spans="1:5" x14ac:dyDescent="0.35">
      <c r="A22" t="s">
        <v>122</v>
      </c>
      <c r="B22">
        <v>2260</v>
      </c>
      <c r="C22" s="7" t="s">
        <v>448</v>
      </c>
      <c r="D22" s="5" t="s">
        <v>194</v>
      </c>
      <c r="E22" s="12" t="s">
        <v>20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Лист8"/>
  <dimension ref="A1:J14"/>
  <sheetViews>
    <sheetView workbookViewId="0">
      <selection activeCell="G10" sqref="G10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68</v>
      </c>
      <c r="B3">
        <v>92.01</v>
      </c>
      <c r="C3" s="5" t="s">
        <v>195</v>
      </c>
      <c r="D3" s="5" t="s">
        <v>196</v>
      </c>
      <c r="E3" s="5" t="s">
        <v>197</v>
      </c>
      <c r="F3" s="50">
        <v>7.15</v>
      </c>
      <c r="G3" s="51">
        <v>0</v>
      </c>
      <c r="H3" s="51">
        <v>0.28000000000000003</v>
      </c>
      <c r="I3" s="51">
        <v>0.51094890510948909</v>
      </c>
      <c r="J3" s="51">
        <v>4.9051094890505409E-2</v>
      </c>
    </row>
    <row r="4" spans="1:10" x14ac:dyDescent="0.35">
      <c r="A4" t="s">
        <v>71</v>
      </c>
      <c r="B4">
        <v>92.08</v>
      </c>
      <c r="C4" s="5" t="s">
        <v>198</v>
      </c>
      <c r="D4" s="5" t="s">
        <v>199</v>
      </c>
      <c r="E4" s="5" t="s">
        <v>20</v>
      </c>
      <c r="F4" s="51">
        <v>7.06</v>
      </c>
      <c r="G4" s="51">
        <v>0</v>
      </c>
      <c r="H4" s="51">
        <v>0.3</v>
      </c>
      <c r="I4" s="51">
        <v>0.5</v>
      </c>
      <c r="J4" s="51">
        <v>6.0000000000002052E-2</v>
      </c>
    </row>
    <row r="5" spans="1:10" x14ac:dyDescent="0.35">
      <c r="A5" t="s">
        <v>74</v>
      </c>
      <c r="B5">
        <v>91.87</v>
      </c>
      <c r="C5" s="5" t="s">
        <v>200</v>
      </c>
      <c r="D5" s="5" t="s">
        <v>201</v>
      </c>
      <c r="E5" s="5" t="s">
        <v>20</v>
      </c>
      <c r="F5" s="51">
        <v>7.37</v>
      </c>
      <c r="G5" s="51">
        <v>0</v>
      </c>
      <c r="H5" s="51">
        <v>0.03</v>
      </c>
      <c r="I5" s="51">
        <v>0.5</v>
      </c>
      <c r="J5" s="51">
        <v>0.22999999999999532</v>
      </c>
    </row>
    <row r="6" spans="1:10" x14ac:dyDescent="0.35">
      <c r="A6" t="s">
        <v>77</v>
      </c>
      <c r="B6">
        <v>91.58</v>
      </c>
      <c r="C6" s="5" t="s">
        <v>202</v>
      </c>
      <c r="D6" s="5" t="s">
        <v>203</v>
      </c>
      <c r="E6" s="5" t="s">
        <v>197</v>
      </c>
      <c r="F6" s="50">
        <v>7.61</v>
      </c>
      <c r="G6" s="51">
        <v>0</v>
      </c>
      <c r="H6" s="51">
        <v>0.28999999999999998</v>
      </c>
      <c r="I6" s="51">
        <v>0.5</v>
      </c>
      <c r="J6" s="51">
        <v>2.000000000000135E-2</v>
      </c>
    </row>
    <row r="7" spans="1:10" x14ac:dyDescent="0.35">
      <c r="A7" t="s">
        <v>80</v>
      </c>
      <c r="B7">
        <v>91.55</v>
      </c>
      <c r="C7" s="5" t="s">
        <v>204</v>
      </c>
      <c r="D7" s="5" t="s">
        <v>205</v>
      </c>
      <c r="E7" s="5" t="s">
        <v>20</v>
      </c>
      <c r="F7" s="51">
        <v>7.8</v>
      </c>
      <c r="G7" s="51">
        <v>0</v>
      </c>
      <c r="H7" s="51">
        <v>0.04</v>
      </c>
      <c r="I7" s="51">
        <v>0.5</v>
      </c>
      <c r="J7" s="51">
        <v>0.11000000000000298</v>
      </c>
    </row>
    <row r="10" spans="1:10" x14ac:dyDescent="0.35">
      <c r="A10" s="3" t="s">
        <v>50</v>
      </c>
    </row>
    <row r="11" spans="1:10" x14ac:dyDescent="0.3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10" x14ac:dyDescent="0.35">
      <c r="A12" t="s">
        <v>53</v>
      </c>
      <c r="B12">
        <v>1195</v>
      </c>
      <c r="C12" s="5" t="s">
        <v>86</v>
      </c>
      <c r="D12" s="5" t="s">
        <v>206</v>
      </c>
      <c r="E12" s="5" t="s">
        <v>20</v>
      </c>
    </row>
    <row r="13" spans="1:10" x14ac:dyDescent="0.35">
      <c r="A13" t="s">
        <v>56</v>
      </c>
      <c r="B13">
        <v>1070</v>
      </c>
      <c r="C13" s="5" t="s">
        <v>88</v>
      </c>
      <c r="D13" s="5" t="s">
        <v>207</v>
      </c>
      <c r="E13" s="5" t="s">
        <v>20</v>
      </c>
    </row>
    <row r="14" spans="1:10" x14ac:dyDescent="0.35">
      <c r="A14" t="s">
        <v>58</v>
      </c>
      <c r="B14">
        <v>1147</v>
      </c>
      <c r="C14" s="5" t="s">
        <v>90</v>
      </c>
      <c r="D14" s="5" t="s">
        <v>91</v>
      </c>
      <c r="E14" s="5" t="s">
        <v>20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Лист9">
    <tabColor rgb="FFFFFF00"/>
  </sheetPr>
  <dimension ref="A1:J15"/>
  <sheetViews>
    <sheetView workbookViewId="0">
      <selection activeCell="I11" sqref="I11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68</v>
      </c>
      <c r="B3">
        <v>90.97</v>
      </c>
      <c r="C3" s="5" t="s">
        <v>69</v>
      </c>
      <c r="D3" s="5" t="s">
        <v>47</v>
      </c>
      <c r="E3" s="5" t="s">
        <v>20</v>
      </c>
      <c r="F3" s="51">
        <v>8.43</v>
      </c>
      <c r="G3" s="51">
        <v>0</v>
      </c>
      <c r="H3" s="51">
        <v>0.05</v>
      </c>
      <c r="I3" s="51">
        <v>0.49071618037135278</v>
      </c>
      <c r="J3" s="51">
        <v>5.9283819628648593E-2</v>
      </c>
    </row>
    <row r="4" spans="1:10" x14ac:dyDescent="0.35">
      <c r="A4" t="s">
        <v>71</v>
      </c>
      <c r="B4">
        <v>91.9</v>
      </c>
      <c r="C4" s="5" t="s">
        <v>72</v>
      </c>
      <c r="D4" s="5" t="s">
        <v>208</v>
      </c>
      <c r="E4" s="5" t="s">
        <v>20</v>
      </c>
      <c r="F4" s="51">
        <v>7.48</v>
      </c>
      <c r="G4" s="51">
        <v>0</v>
      </c>
      <c r="H4" s="51">
        <v>0.1</v>
      </c>
      <c r="I4" s="51">
        <v>0.51219512195121952</v>
      </c>
      <c r="J4" s="51">
        <v>7.8048780487743885E-3</v>
      </c>
    </row>
    <row r="5" spans="1:10" x14ac:dyDescent="0.35">
      <c r="A5" t="s">
        <v>74</v>
      </c>
      <c r="B5">
        <v>91.55</v>
      </c>
      <c r="C5" s="5" t="s">
        <v>75</v>
      </c>
      <c r="D5" s="5" t="s">
        <v>209</v>
      </c>
      <c r="E5" s="5" t="s">
        <v>20</v>
      </c>
      <c r="F5" s="51">
        <v>7.8</v>
      </c>
      <c r="G5" s="51">
        <v>0</v>
      </c>
      <c r="H5" s="51">
        <v>0.05</v>
      </c>
      <c r="I5" s="51">
        <v>0.5</v>
      </c>
      <c r="J5" s="51">
        <v>0.10000000000000298</v>
      </c>
    </row>
    <row r="6" spans="1:10" x14ac:dyDescent="0.35">
      <c r="A6" t="s">
        <v>77</v>
      </c>
      <c r="B6">
        <v>92.57</v>
      </c>
      <c r="C6" s="5" t="s">
        <v>78</v>
      </c>
      <c r="D6" s="5" t="s">
        <v>210</v>
      </c>
      <c r="E6" s="5" t="s">
        <v>197</v>
      </c>
      <c r="F6" s="50">
        <v>6.7</v>
      </c>
      <c r="G6" s="51">
        <v>0</v>
      </c>
      <c r="H6" s="51">
        <v>0.21</v>
      </c>
      <c r="I6" s="51">
        <v>0.49528301886792453</v>
      </c>
      <c r="J6" s="51">
        <v>2.471698113208215E-2</v>
      </c>
    </row>
    <row r="7" spans="1:10" x14ac:dyDescent="0.35">
      <c r="A7" t="s">
        <v>80</v>
      </c>
      <c r="B7">
        <v>90.86</v>
      </c>
      <c r="C7" s="5" t="s">
        <v>81</v>
      </c>
      <c r="D7" s="5" t="s">
        <v>19</v>
      </c>
      <c r="E7" s="5" t="s">
        <v>20</v>
      </c>
      <c r="F7" s="50">
        <v>8.33</v>
      </c>
      <c r="G7" s="51">
        <v>0</v>
      </c>
      <c r="H7" s="51">
        <v>0.28000000000000003</v>
      </c>
      <c r="I7" s="51">
        <v>0.5</v>
      </c>
      <c r="J7" s="51">
        <v>3.0000000000000471E-2</v>
      </c>
    </row>
    <row r="10" spans="1:10" x14ac:dyDescent="0.35">
      <c r="A10" s="3" t="s">
        <v>50</v>
      </c>
    </row>
    <row r="11" spans="1:10" x14ac:dyDescent="0.3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16</v>
      </c>
    </row>
    <row r="12" spans="1:10" x14ac:dyDescent="0.35">
      <c r="A12" t="s">
        <v>53</v>
      </c>
      <c r="B12">
        <v>2366.9</v>
      </c>
      <c r="C12" s="7" t="s">
        <v>459</v>
      </c>
      <c r="D12" s="5" t="s">
        <v>211</v>
      </c>
      <c r="E12" s="7" t="s">
        <v>20</v>
      </c>
    </row>
    <row r="13" spans="1:10" x14ac:dyDescent="0.35">
      <c r="A13" t="s">
        <v>56</v>
      </c>
      <c r="B13">
        <v>1706</v>
      </c>
      <c r="C13" s="5" t="s">
        <v>88</v>
      </c>
      <c r="D13" s="5" t="s">
        <v>212</v>
      </c>
      <c r="E13" s="5" t="s">
        <v>20</v>
      </c>
    </row>
    <row r="14" spans="1:10" x14ac:dyDescent="0.35">
      <c r="A14" t="s">
        <v>58</v>
      </c>
      <c r="B14">
        <v>2227.8000000000002</v>
      </c>
      <c r="C14" s="7" t="s">
        <v>458</v>
      </c>
      <c r="D14" s="5" t="s">
        <v>213</v>
      </c>
      <c r="E14" s="7" t="s">
        <v>20</v>
      </c>
    </row>
    <row r="15" spans="1:10" x14ac:dyDescent="0.35">
      <c r="A15" t="s">
        <v>60</v>
      </c>
      <c r="B15">
        <v>2064.1</v>
      </c>
      <c r="C15" s="5" t="s">
        <v>92</v>
      </c>
      <c r="D15" s="5" t="s">
        <v>214</v>
      </c>
      <c r="E15" s="5" t="s">
        <v>197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Лист10">
    <tabColor theme="9" tint="0.79998168889431442"/>
  </sheetPr>
  <dimension ref="A1:J34"/>
  <sheetViews>
    <sheetView topLeftCell="A7" workbookViewId="0">
      <selection activeCell="E26" sqref="E26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  <col min="6" max="6" width="10.1796875" bestFit="1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68</v>
      </c>
      <c r="B3">
        <v>90.86</v>
      </c>
      <c r="C3" s="5" t="s">
        <v>215</v>
      </c>
      <c r="D3" s="5" t="s">
        <v>182</v>
      </c>
      <c r="E3" s="5" t="s">
        <v>20</v>
      </c>
      <c r="F3" s="52">
        <v>8.06</v>
      </c>
      <c r="G3" s="52"/>
      <c r="H3" s="52">
        <v>0.5</v>
      </c>
      <c r="I3" s="52">
        <v>0.5</v>
      </c>
      <c r="J3" s="51">
        <v>8.0000000000000071E-2</v>
      </c>
    </row>
    <row r="4" spans="1:10" x14ac:dyDescent="0.35">
      <c r="A4" t="s">
        <v>71</v>
      </c>
      <c r="B4">
        <v>90.93</v>
      </c>
      <c r="C4" s="5" t="s">
        <v>216</v>
      </c>
      <c r="D4" s="5" t="s">
        <v>182</v>
      </c>
      <c r="E4" s="5" t="s">
        <v>20</v>
      </c>
      <c r="F4" s="51">
        <v>7.89</v>
      </c>
      <c r="G4" s="51">
        <v>0</v>
      </c>
      <c r="H4" s="51">
        <v>0.55000000000000004</v>
      </c>
      <c r="I4" s="51">
        <v>0.52036199095022628</v>
      </c>
      <c r="J4" s="51">
        <v>0.10963800904976717</v>
      </c>
    </row>
    <row r="5" spans="1:10" x14ac:dyDescent="0.35">
      <c r="A5" t="s">
        <v>74</v>
      </c>
      <c r="B5" s="8">
        <v>90.94</v>
      </c>
      <c r="C5" s="7" t="s">
        <v>413</v>
      </c>
      <c r="D5" s="6">
        <v>45041</v>
      </c>
      <c r="E5" s="7" t="s">
        <v>20</v>
      </c>
      <c r="F5" s="51">
        <v>8.26</v>
      </c>
      <c r="G5" s="51">
        <v>0</v>
      </c>
      <c r="H5" s="51">
        <v>0.19</v>
      </c>
      <c r="I5" s="51">
        <v>0.5</v>
      </c>
      <c r="J5" s="51">
        <v>0.11000000000000254</v>
      </c>
    </row>
    <row r="6" spans="1:10" x14ac:dyDescent="0.35">
      <c r="A6" t="s">
        <v>77</v>
      </c>
      <c r="B6" s="8">
        <v>90.18</v>
      </c>
      <c r="C6" s="7" t="s">
        <v>416</v>
      </c>
      <c r="D6" s="6">
        <v>44607</v>
      </c>
      <c r="E6" s="7" t="s">
        <v>20</v>
      </c>
      <c r="F6" s="51">
        <v>7.95</v>
      </c>
      <c r="G6" s="51">
        <v>0</v>
      </c>
      <c r="H6" s="51">
        <v>1.23</v>
      </c>
      <c r="I6" s="51">
        <v>0.5</v>
      </c>
      <c r="J6" s="51">
        <v>0.13999999999999302</v>
      </c>
    </row>
    <row r="7" spans="1:10" x14ac:dyDescent="0.35">
      <c r="A7" t="s">
        <v>80</v>
      </c>
      <c r="B7">
        <v>90.81</v>
      </c>
      <c r="C7" s="5" t="s">
        <v>217</v>
      </c>
      <c r="D7" s="5" t="s">
        <v>218</v>
      </c>
      <c r="E7" s="5" t="s">
        <v>20</v>
      </c>
      <c r="F7" s="51">
        <v>7.69</v>
      </c>
      <c r="G7" s="53">
        <v>0</v>
      </c>
      <c r="H7" s="51">
        <v>0.89</v>
      </c>
      <c r="I7" s="51">
        <v>0.51801801801801806</v>
      </c>
      <c r="J7" s="51">
        <v>0.10198198198198438</v>
      </c>
    </row>
    <row r="8" spans="1:10" x14ac:dyDescent="0.35">
      <c r="A8" t="s">
        <v>83</v>
      </c>
      <c r="B8" s="8">
        <v>90.8</v>
      </c>
      <c r="C8" s="7" t="s">
        <v>417</v>
      </c>
      <c r="D8" s="10">
        <v>44861</v>
      </c>
      <c r="E8" s="7" t="s">
        <v>20</v>
      </c>
      <c r="F8" s="51">
        <v>7.93</v>
      </c>
      <c r="G8" s="51">
        <v>0</v>
      </c>
      <c r="H8" s="51">
        <v>0.57999999999999996</v>
      </c>
      <c r="I8" s="51">
        <v>0.50660792951541855</v>
      </c>
      <c r="J8" s="51">
        <v>2.2233920704845764</v>
      </c>
    </row>
    <row r="9" spans="1:10" x14ac:dyDescent="0.35">
      <c r="A9" t="s">
        <v>138</v>
      </c>
      <c r="B9" s="15">
        <v>88.76</v>
      </c>
      <c r="C9" s="14" t="s">
        <v>428</v>
      </c>
      <c r="D9" s="17">
        <v>43463</v>
      </c>
      <c r="E9" s="14" t="s">
        <v>20</v>
      </c>
      <c r="F9" s="51">
        <v>10.15</v>
      </c>
      <c r="G9" s="51">
        <v>0</v>
      </c>
      <c r="H9" s="51">
        <v>0.5</v>
      </c>
      <c r="I9" s="51">
        <v>0.49327354260089684</v>
      </c>
      <c r="J9" s="51">
        <v>0.49672645739910337</v>
      </c>
    </row>
    <row r="10" spans="1:10" x14ac:dyDescent="0.35">
      <c r="A10" t="s">
        <v>94</v>
      </c>
      <c r="B10" s="15">
        <v>88.36</v>
      </c>
      <c r="C10" s="14" t="s">
        <v>429</v>
      </c>
      <c r="D10" s="17">
        <v>44795</v>
      </c>
      <c r="E10" s="14" t="s">
        <v>20</v>
      </c>
      <c r="F10" s="51">
        <v>9.81</v>
      </c>
      <c r="G10" s="51">
        <v>0</v>
      </c>
      <c r="H10" s="51">
        <v>1.23</v>
      </c>
      <c r="I10" s="51">
        <v>0.48888888888888887</v>
      </c>
      <c r="J10" s="51">
        <v>0.11111111111111122</v>
      </c>
    </row>
    <row r="11" spans="1:10" x14ac:dyDescent="0.35">
      <c r="A11" t="s">
        <v>97</v>
      </c>
      <c r="B11" s="18" t="s">
        <v>476</v>
      </c>
      <c r="C11" s="14" t="s">
        <v>431</v>
      </c>
      <c r="D11" s="17">
        <v>45448</v>
      </c>
      <c r="E11" s="14" t="s">
        <v>20</v>
      </c>
      <c r="F11" s="50">
        <v>9.0500000000000007</v>
      </c>
      <c r="G11" s="50">
        <v>0</v>
      </c>
      <c r="H11" s="50">
        <v>1.1200000000000001</v>
      </c>
      <c r="I11" s="50">
        <v>0.51</v>
      </c>
      <c r="J11" s="51">
        <v>0.11000000000000543</v>
      </c>
    </row>
    <row r="12" spans="1:10" x14ac:dyDescent="0.35">
      <c r="A12" s="9">
        <v>10</v>
      </c>
      <c r="B12">
        <v>89.26</v>
      </c>
      <c r="C12" s="5" t="s">
        <v>225</v>
      </c>
      <c r="D12" s="5" t="s">
        <v>205</v>
      </c>
      <c r="E12" s="5" t="s">
        <v>20</v>
      </c>
      <c r="F12" s="51">
        <v>9.8699999999999992</v>
      </c>
      <c r="G12" s="51">
        <v>0</v>
      </c>
      <c r="H12" s="51">
        <v>0.26</v>
      </c>
      <c r="I12" s="51">
        <v>0.52036199095022628</v>
      </c>
      <c r="J12" s="51">
        <v>8.9638009049769374E-2</v>
      </c>
    </row>
    <row r="13" spans="1:10" x14ac:dyDescent="0.35">
      <c r="A13" s="9">
        <v>11</v>
      </c>
      <c r="B13" s="8">
        <v>90.92</v>
      </c>
      <c r="C13" s="7" t="s">
        <v>424</v>
      </c>
      <c r="D13" s="6">
        <v>43866</v>
      </c>
      <c r="E13" s="7" t="s">
        <v>20</v>
      </c>
      <c r="F13" s="51">
        <v>7.62</v>
      </c>
      <c r="G13" s="51">
        <v>0</v>
      </c>
      <c r="H13" s="51">
        <v>0.66</v>
      </c>
      <c r="I13" s="51">
        <v>0.49921996879875197</v>
      </c>
      <c r="J13" s="51">
        <v>0.30078003120124619</v>
      </c>
    </row>
    <row r="14" spans="1:10" x14ac:dyDescent="0.35">
      <c r="A14" s="9">
        <v>12</v>
      </c>
      <c r="B14" s="8">
        <v>91.16</v>
      </c>
      <c r="C14" s="7" t="s">
        <v>420</v>
      </c>
      <c r="D14" s="6">
        <v>44235</v>
      </c>
      <c r="E14" s="7" t="s">
        <v>20</v>
      </c>
      <c r="F14" s="50">
        <v>7.62</v>
      </c>
      <c r="G14" s="51">
        <v>0</v>
      </c>
      <c r="H14" s="51">
        <v>0.66</v>
      </c>
      <c r="I14" s="51">
        <v>0.49921996879875197</v>
      </c>
      <c r="J14" s="51">
        <v>0.30078003120124619</v>
      </c>
    </row>
    <row r="15" spans="1:10" x14ac:dyDescent="0.35">
      <c r="A15" t="s">
        <v>221</v>
      </c>
      <c r="B15" s="8">
        <v>91.25</v>
      </c>
      <c r="C15" s="7" t="s">
        <v>421</v>
      </c>
      <c r="D15" s="6">
        <v>44466</v>
      </c>
      <c r="E15" s="7" t="s">
        <v>20</v>
      </c>
      <c r="F15" s="51">
        <v>7.08</v>
      </c>
      <c r="G15" s="51">
        <v>0</v>
      </c>
      <c r="H15" s="51">
        <v>0.82</v>
      </c>
      <c r="I15" s="51">
        <v>0.5</v>
      </c>
      <c r="J15" s="51">
        <v>0.44000000000000339</v>
      </c>
    </row>
    <row r="16" spans="1:10" x14ac:dyDescent="0.35">
      <c r="A16" t="s">
        <v>222</v>
      </c>
      <c r="B16" s="8">
        <v>91.25</v>
      </c>
      <c r="C16" s="7" t="s">
        <v>421</v>
      </c>
      <c r="D16" s="6">
        <v>44466</v>
      </c>
      <c r="E16" s="7" t="s">
        <v>20</v>
      </c>
      <c r="F16" s="50">
        <v>7.28</v>
      </c>
      <c r="G16" s="51">
        <v>0</v>
      </c>
      <c r="H16" s="51">
        <v>0.31</v>
      </c>
      <c r="I16" s="51">
        <v>0.48632218844984804</v>
      </c>
      <c r="J16" s="51">
        <v>0.67367781155015161</v>
      </c>
    </row>
    <row r="17" spans="1:10" x14ac:dyDescent="0.35">
      <c r="A17" t="s">
        <v>223</v>
      </c>
      <c r="B17" s="8">
        <v>89.32</v>
      </c>
      <c r="C17" s="7" t="s">
        <v>426</v>
      </c>
      <c r="D17" s="6">
        <v>43511</v>
      </c>
      <c r="E17" s="7" t="s">
        <v>20</v>
      </c>
      <c r="F17" s="51">
        <v>7.21</v>
      </c>
      <c r="G17" s="51">
        <v>0</v>
      </c>
      <c r="H17" s="51">
        <v>0.28999999999999998</v>
      </c>
      <c r="I17" s="51">
        <v>0.48632218844984804</v>
      </c>
      <c r="J17" s="51">
        <v>0.76367781155015191</v>
      </c>
    </row>
    <row r="18" spans="1:10" x14ac:dyDescent="0.35">
      <c r="A18" t="s">
        <v>224</v>
      </c>
      <c r="B18" s="8">
        <v>90.77</v>
      </c>
      <c r="C18" s="7" t="s">
        <v>427</v>
      </c>
      <c r="D18" s="6">
        <v>43511</v>
      </c>
      <c r="E18" s="7" t="s">
        <v>20</v>
      </c>
      <c r="F18" s="51">
        <v>8.56</v>
      </c>
      <c r="G18" s="51">
        <v>0</v>
      </c>
      <c r="H18" s="51">
        <v>1.1399999999999999</v>
      </c>
      <c r="I18" s="51">
        <v>0.51118210862619806</v>
      </c>
      <c r="J18" s="51">
        <v>0.46881789137380836</v>
      </c>
    </row>
    <row r="19" spans="1:10" x14ac:dyDescent="0.35">
      <c r="C19" s="5"/>
      <c r="D19" s="5"/>
      <c r="E19" s="5"/>
      <c r="F19" s="51">
        <v>6.79</v>
      </c>
      <c r="G19" s="51">
        <v>0</v>
      </c>
      <c r="H19" s="51">
        <v>1.68</v>
      </c>
      <c r="I19" s="51">
        <v>0.50314465408805031</v>
      </c>
      <c r="J19" s="51">
        <v>0.25685534591195369</v>
      </c>
    </row>
    <row r="20" spans="1:10" x14ac:dyDescent="0.35">
      <c r="C20" s="5"/>
      <c r="D20" s="5"/>
      <c r="E20" s="5"/>
    </row>
    <row r="24" spans="1:10" x14ac:dyDescent="0.35">
      <c r="A24" s="3" t="s">
        <v>50</v>
      </c>
    </row>
    <row r="25" spans="1:10" x14ac:dyDescent="0.35">
      <c r="A25" s="4" t="s">
        <v>51</v>
      </c>
      <c r="B25" s="4" t="s">
        <v>52</v>
      </c>
      <c r="C25" s="4" t="s">
        <v>14</v>
      </c>
      <c r="D25" s="4" t="s">
        <v>15</v>
      </c>
      <c r="E25" s="4" t="s">
        <v>16</v>
      </c>
    </row>
    <row r="26" spans="1:10" x14ac:dyDescent="0.35">
      <c r="A26" t="s">
        <v>53</v>
      </c>
      <c r="B26" s="37">
        <v>2476</v>
      </c>
      <c r="C26" s="5" t="s">
        <v>226</v>
      </c>
      <c r="D26" s="5" t="s">
        <v>227</v>
      </c>
      <c r="E26" s="5" t="s">
        <v>20</v>
      </c>
    </row>
    <row r="27" spans="1:10" x14ac:dyDescent="0.35">
      <c r="A27" t="s">
        <v>56</v>
      </c>
      <c r="B27" s="37">
        <v>2295</v>
      </c>
      <c r="C27" s="5" t="s">
        <v>228</v>
      </c>
      <c r="D27" s="5" t="s">
        <v>229</v>
      </c>
      <c r="E27" s="5" t="s">
        <v>20</v>
      </c>
    </row>
    <row r="28" spans="1:10" x14ac:dyDescent="0.35">
      <c r="A28" t="s">
        <v>58</v>
      </c>
      <c r="B28" s="37">
        <v>2282</v>
      </c>
      <c r="C28" s="7" t="s">
        <v>414</v>
      </c>
      <c r="D28" s="7" t="s">
        <v>415</v>
      </c>
      <c r="E28" s="7" t="s">
        <v>20</v>
      </c>
    </row>
    <row r="29" spans="1:10" x14ac:dyDescent="0.35">
      <c r="A29" t="s">
        <v>60</v>
      </c>
      <c r="B29" s="37">
        <v>2142</v>
      </c>
      <c r="C29" s="7" t="s">
        <v>418</v>
      </c>
      <c r="D29" s="6">
        <v>44859</v>
      </c>
      <c r="E29" s="7" t="s">
        <v>20</v>
      </c>
    </row>
    <row r="30" spans="1:10" x14ac:dyDescent="0.35">
      <c r="A30" t="s">
        <v>62</v>
      </c>
      <c r="B30" s="37">
        <v>2110</v>
      </c>
      <c r="C30" s="7" t="s">
        <v>419</v>
      </c>
      <c r="D30" s="6">
        <v>44895</v>
      </c>
      <c r="E30" s="7" t="s">
        <v>20</v>
      </c>
    </row>
    <row r="31" spans="1:10" x14ac:dyDescent="0.35">
      <c r="A31" t="s">
        <v>64</v>
      </c>
      <c r="B31" s="37">
        <v>2058</v>
      </c>
      <c r="C31" s="7" t="s">
        <v>425</v>
      </c>
      <c r="D31" s="6">
        <v>43874</v>
      </c>
      <c r="E31" s="7" t="s">
        <v>20</v>
      </c>
    </row>
    <row r="32" spans="1:10" x14ac:dyDescent="0.35">
      <c r="A32" t="s">
        <v>66</v>
      </c>
      <c r="B32" s="37">
        <v>2070</v>
      </c>
      <c r="C32" s="7" t="s">
        <v>422</v>
      </c>
      <c r="D32" s="6">
        <v>44242</v>
      </c>
      <c r="E32" s="7" t="s">
        <v>20</v>
      </c>
    </row>
    <row r="33" spans="1:5" x14ac:dyDescent="0.35">
      <c r="A33" t="s">
        <v>158</v>
      </c>
      <c r="B33" s="37">
        <v>2148</v>
      </c>
      <c r="C33" s="7" t="s">
        <v>423</v>
      </c>
      <c r="D33" s="6">
        <v>44518</v>
      </c>
      <c r="E33" s="7" t="s">
        <v>20</v>
      </c>
    </row>
    <row r="34" spans="1:5" x14ac:dyDescent="0.35">
      <c r="A34" t="s">
        <v>122</v>
      </c>
      <c r="B34" s="37">
        <v>2092</v>
      </c>
      <c r="C34" s="7" t="s">
        <v>430</v>
      </c>
      <c r="D34" s="6">
        <v>43763</v>
      </c>
      <c r="E34" s="7" t="s">
        <v>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Лист11">
    <tabColor rgb="FFFFFF00"/>
  </sheetPr>
  <dimension ref="A1:J9"/>
  <sheetViews>
    <sheetView workbookViewId="0">
      <selection activeCell="F14" sqref="F14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68</v>
      </c>
      <c r="B3">
        <v>92.05</v>
      </c>
      <c r="C3" s="5" t="s">
        <v>230</v>
      </c>
      <c r="D3" s="5" t="s">
        <v>23</v>
      </c>
      <c r="E3" s="5" t="s">
        <v>20</v>
      </c>
      <c r="F3" s="50">
        <v>7.27</v>
      </c>
      <c r="G3" s="51">
        <v>0</v>
      </c>
      <c r="H3" s="51">
        <v>0.04</v>
      </c>
      <c r="I3" s="51">
        <v>0.59948615472452182</v>
      </c>
      <c r="J3" s="51">
        <v>4.0513845275481408E-2</v>
      </c>
    </row>
    <row r="4" spans="1:10" x14ac:dyDescent="0.35">
      <c r="A4" t="s">
        <v>71</v>
      </c>
      <c r="B4">
        <v>88.75</v>
      </c>
      <c r="C4" s="5" t="s">
        <v>231</v>
      </c>
      <c r="D4" s="20">
        <v>45717</v>
      </c>
      <c r="E4" s="5" t="s">
        <v>20</v>
      </c>
      <c r="F4" s="51">
        <v>9.93</v>
      </c>
      <c r="G4" s="51">
        <v>0</v>
      </c>
      <c r="H4" s="51">
        <v>0.03</v>
      </c>
      <c r="I4" s="51">
        <v>0.79957356076759067</v>
      </c>
      <c r="J4" s="51">
        <v>0.49042643923240958</v>
      </c>
    </row>
    <row r="7" spans="1:10" x14ac:dyDescent="0.35">
      <c r="A7" s="3" t="s">
        <v>50</v>
      </c>
    </row>
    <row r="8" spans="1:10" x14ac:dyDescent="0.35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10" x14ac:dyDescent="0.35">
      <c r="A9" t="s">
        <v>53</v>
      </c>
      <c r="B9">
        <v>2214.4</v>
      </c>
      <c r="C9" s="7" t="s">
        <v>460</v>
      </c>
      <c r="D9" s="5" t="s">
        <v>232</v>
      </c>
      <c r="E9" s="7" t="s">
        <v>20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Лист12"/>
  <dimension ref="A1:J9"/>
  <sheetViews>
    <sheetView workbookViewId="0">
      <selection activeCell="G12" sqref="G12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68</v>
      </c>
      <c r="B3">
        <v>89.77</v>
      </c>
      <c r="C3" s="5" t="s">
        <v>233</v>
      </c>
      <c r="D3" s="5" t="s">
        <v>212</v>
      </c>
      <c r="E3" s="5" t="s">
        <v>197</v>
      </c>
      <c r="F3" s="51">
        <v>7.09</v>
      </c>
      <c r="G3" s="51">
        <v>0</v>
      </c>
      <c r="H3" s="51">
        <v>1.4</v>
      </c>
      <c r="I3" s="51">
        <v>0.51538461538461533</v>
      </c>
      <c r="J3" s="51">
        <v>1.2246153846153889</v>
      </c>
    </row>
    <row r="4" spans="1:10" x14ac:dyDescent="0.35">
      <c r="A4" t="s">
        <v>71</v>
      </c>
      <c r="B4">
        <v>92.22</v>
      </c>
      <c r="C4" s="5" t="s">
        <v>234</v>
      </c>
      <c r="D4" s="5" t="s">
        <v>26</v>
      </c>
      <c r="E4" s="5" t="s">
        <v>154</v>
      </c>
    </row>
    <row r="7" spans="1:10" x14ac:dyDescent="0.35">
      <c r="A7" s="3" t="s">
        <v>50</v>
      </c>
    </row>
    <row r="8" spans="1:10" x14ac:dyDescent="0.35">
      <c r="A8" s="4" t="s">
        <v>51</v>
      </c>
      <c r="B8" s="4" t="s">
        <v>52</v>
      </c>
      <c r="C8" s="4" t="s">
        <v>14</v>
      </c>
      <c r="D8" s="4" t="s">
        <v>15</v>
      </c>
      <c r="E8" s="4" t="s">
        <v>16</v>
      </c>
    </row>
    <row r="9" spans="1:10" x14ac:dyDescent="0.35">
      <c r="A9" t="s">
        <v>53</v>
      </c>
      <c r="B9">
        <v>2157.23</v>
      </c>
      <c r="C9" s="5" t="s">
        <v>235</v>
      </c>
      <c r="D9" s="5" t="s">
        <v>93</v>
      </c>
      <c r="E9" s="5" t="s">
        <v>197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Лист13">
    <tabColor rgb="FFFFFF00"/>
  </sheetPr>
  <dimension ref="A1:J15"/>
  <sheetViews>
    <sheetView workbookViewId="0">
      <selection activeCell="D20" sqref="D20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71</v>
      </c>
      <c r="B3">
        <v>93.23</v>
      </c>
      <c r="C3" s="5" t="s">
        <v>72</v>
      </c>
      <c r="D3" s="5" t="s">
        <v>185</v>
      </c>
      <c r="E3" s="5" t="s">
        <v>20</v>
      </c>
      <c r="F3" s="51">
        <v>5.76</v>
      </c>
      <c r="G3" s="51">
        <v>0</v>
      </c>
      <c r="H3" s="51">
        <v>0.08</v>
      </c>
      <c r="I3" s="51">
        <v>0.50077041602465322</v>
      </c>
      <c r="J3" s="51">
        <v>0.42922958397534305</v>
      </c>
    </row>
    <row r="4" spans="1:10" x14ac:dyDescent="0.35">
      <c r="A4" t="s">
        <v>74</v>
      </c>
      <c r="B4">
        <v>93.47</v>
      </c>
      <c r="C4" s="5" t="s">
        <v>75</v>
      </c>
      <c r="D4" s="5" t="s">
        <v>236</v>
      </c>
      <c r="E4" s="5" t="s">
        <v>20</v>
      </c>
      <c r="F4" s="51">
        <v>5.35</v>
      </c>
      <c r="G4" s="51">
        <v>0</v>
      </c>
      <c r="H4" s="51">
        <v>0.32</v>
      </c>
      <c r="I4" s="51">
        <v>0.5</v>
      </c>
      <c r="J4" s="51">
        <v>0.36000000000000143</v>
      </c>
    </row>
    <row r="5" spans="1:10" x14ac:dyDescent="0.35">
      <c r="A5" t="s">
        <v>77</v>
      </c>
      <c r="B5">
        <v>93.52</v>
      </c>
      <c r="C5" s="5" t="s">
        <v>78</v>
      </c>
      <c r="D5" s="20">
        <v>44918</v>
      </c>
      <c r="E5" s="5" t="s">
        <v>20</v>
      </c>
      <c r="F5" s="51">
        <v>5.44</v>
      </c>
      <c r="G5" s="51">
        <v>0</v>
      </c>
      <c r="H5" s="51">
        <v>0.16</v>
      </c>
      <c r="I5" s="51">
        <v>0.53030303030303028</v>
      </c>
      <c r="J5" s="51">
        <v>0.34969696969697328</v>
      </c>
    </row>
    <row r="6" spans="1:10" x14ac:dyDescent="0.35">
      <c r="A6" t="s">
        <v>80</v>
      </c>
      <c r="B6">
        <v>93.44</v>
      </c>
      <c r="C6" s="5" t="s">
        <v>81</v>
      </c>
      <c r="D6" s="5" t="s">
        <v>85</v>
      </c>
      <c r="E6" s="5" t="s">
        <v>197</v>
      </c>
      <c r="F6" s="51">
        <v>5.52</v>
      </c>
      <c r="G6" s="51">
        <v>0</v>
      </c>
      <c r="H6" s="51">
        <v>0.17</v>
      </c>
      <c r="I6" s="51">
        <v>0.49694189602446481</v>
      </c>
      <c r="J6" s="51">
        <v>0.37305810397553785</v>
      </c>
    </row>
    <row r="7" spans="1:10" x14ac:dyDescent="0.35">
      <c r="A7" t="s">
        <v>83</v>
      </c>
      <c r="B7">
        <v>92.82</v>
      </c>
      <c r="C7" s="5" t="s">
        <v>84</v>
      </c>
      <c r="D7" s="5" t="s">
        <v>237</v>
      </c>
      <c r="E7" s="5" t="s">
        <v>20</v>
      </c>
      <c r="F7" s="51">
        <v>6.23</v>
      </c>
      <c r="G7" s="51">
        <v>0</v>
      </c>
      <c r="H7" s="51">
        <v>0.14000000000000001</v>
      </c>
      <c r="I7" s="51">
        <v>0.49857549857549854</v>
      </c>
      <c r="J7" s="51">
        <v>0.31142450142450784</v>
      </c>
    </row>
    <row r="8" spans="1:10" x14ac:dyDescent="0.35">
      <c r="A8" t="s">
        <v>138</v>
      </c>
      <c r="B8">
        <v>93.16</v>
      </c>
      <c r="C8" s="5" t="s">
        <v>139</v>
      </c>
      <c r="D8" s="5" t="s">
        <v>238</v>
      </c>
      <c r="E8" s="5" t="s">
        <v>20</v>
      </c>
      <c r="F8" s="51">
        <v>5.8</v>
      </c>
      <c r="G8" s="51">
        <v>0</v>
      </c>
      <c r="H8" s="51">
        <v>9.2999999999999999E-2</v>
      </c>
      <c r="I8" s="51">
        <v>0.54263565891472865</v>
      </c>
      <c r="J8" s="51">
        <v>0.40436434108527497</v>
      </c>
    </row>
    <row r="11" spans="1:10" x14ac:dyDescent="0.35">
      <c r="A11" s="3" t="s">
        <v>50</v>
      </c>
    </row>
    <row r="12" spans="1:10" x14ac:dyDescent="0.3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10" x14ac:dyDescent="0.35">
      <c r="A13" t="s">
        <v>53</v>
      </c>
      <c r="B13">
        <v>3565.2</v>
      </c>
      <c r="C13" s="7" t="s">
        <v>461</v>
      </c>
      <c r="D13" s="5" t="s">
        <v>239</v>
      </c>
      <c r="E13" s="7" t="s">
        <v>20</v>
      </c>
    </row>
    <row r="14" spans="1:10" x14ac:dyDescent="0.35">
      <c r="A14" t="s">
        <v>56</v>
      </c>
      <c r="B14">
        <v>969.3</v>
      </c>
      <c r="C14" s="5" t="s">
        <v>88</v>
      </c>
      <c r="D14" s="5" t="s">
        <v>240</v>
      </c>
      <c r="E14" s="5" t="s">
        <v>20</v>
      </c>
    </row>
    <row r="15" spans="1:10" x14ac:dyDescent="0.35">
      <c r="A15" t="s">
        <v>58</v>
      </c>
      <c r="B15">
        <v>960.7</v>
      </c>
      <c r="C15" s="5" t="s">
        <v>90</v>
      </c>
      <c r="D15" s="5" t="s">
        <v>241</v>
      </c>
      <c r="E15" s="5" t="s">
        <v>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Лист14"/>
  <dimension ref="A1:J16"/>
  <sheetViews>
    <sheetView workbookViewId="0">
      <selection activeCell="C8" sqref="C8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68</v>
      </c>
      <c r="B3">
        <v>89.2</v>
      </c>
      <c r="C3" s="5" t="s">
        <v>69</v>
      </c>
      <c r="D3" s="20">
        <v>46066</v>
      </c>
      <c r="E3" s="5" t="s">
        <v>242</v>
      </c>
      <c r="F3" s="54">
        <v>9.32</v>
      </c>
      <c r="G3" s="54">
        <v>0</v>
      </c>
      <c r="H3" s="54">
        <v>0.43</v>
      </c>
      <c r="I3" s="54">
        <v>0.69767441860465118</v>
      </c>
      <c r="J3" s="54">
        <v>0.35232558139534575</v>
      </c>
    </row>
    <row r="4" spans="1:10" x14ac:dyDescent="0.35">
      <c r="A4" t="s">
        <v>80</v>
      </c>
      <c r="B4">
        <v>87.3</v>
      </c>
      <c r="C4" s="5" t="s">
        <v>81</v>
      </c>
      <c r="D4" s="5" t="s">
        <v>243</v>
      </c>
      <c r="E4" s="5" t="s">
        <v>20</v>
      </c>
      <c r="F4" s="54">
        <v>9.39</v>
      </c>
      <c r="G4" s="54">
        <v>0</v>
      </c>
      <c r="H4" s="54">
        <v>2.42</v>
      </c>
      <c r="I4" s="54">
        <v>0.6071428571428571</v>
      </c>
      <c r="J4" s="54">
        <v>0.28285714285714525</v>
      </c>
    </row>
    <row r="5" spans="1:10" x14ac:dyDescent="0.35">
      <c r="A5" t="s">
        <v>94</v>
      </c>
      <c r="B5">
        <v>87.43</v>
      </c>
      <c r="C5" s="5" t="s">
        <v>95</v>
      </c>
      <c r="D5" s="5" t="s">
        <v>244</v>
      </c>
      <c r="E5" s="5" t="s">
        <v>20</v>
      </c>
      <c r="F5" s="54">
        <v>9.94</v>
      </c>
      <c r="G5" s="54">
        <v>0</v>
      </c>
      <c r="H5" s="54">
        <v>0.96</v>
      </c>
      <c r="I5" s="54">
        <v>0.52795031055900621</v>
      </c>
      <c r="J5" s="54">
        <v>1.1420496894409875</v>
      </c>
    </row>
    <row r="6" spans="1:10" x14ac:dyDescent="0.35">
      <c r="A6" t="s">
        <v>97</v>
      </c>
      <c r="B6">
        <v>88.28</v>
      </c>
      <c r="C6" s="5" t="s">
        <v>98</v>
      </c>
      <c r="D6" s="5" t="s">
        <v>243</v>
      </c>
      <c r="E6" s="5" t="s">
        <v>20</v>
      </c>
      <c r="F6" s="54">
        <v>9.82</v>
      </c>
      <c r="G6" s="54">
        <v>0</v>
      </c>
      <c r="H6" s="54">
        <v>1.1299999999999999</v>
      </c>
      <c r="I6" s="54">
        <v>0.54838709677419351</v>
      </c>
      <c r="J6" s="54">
        <v>0.22161290322580518</v>
      </c>
    </row>
    <row r="7" spans="1:10" x14ac:dyDescent="0.35">
      <c r="A7" t="s">
        <v>100</v>
      </c>
      <c r="B7">
        <v>90.76</v>
      </c>
      <c r="C7" s="5" t="s">
        <v>101</v>
      </c>
      <c r="D7" s="5" t="s">
        <v>232</v>
      </c>
      <c r="E7" s="5" t="s">
        <v>242</v>
      </c>
      <c r="F7" s="54">
        <v>7.82</v>
      </c>
      <c r="G7" s="54">
        <v>0</v>
      </c>
      <c r="H7" s="54">
        <v>0.62</v>
      </c>
      <c r="I7" s="54">
        <v>0.6071428571428571</v>
      </c>
      <c r="J7" s="54">
        <v>0.19285714285713751</v>
      </c>
    </row>
    <row r="8" spans="1:10" x14ac:dyDescent="0.35">
      <c r="A8" t="s">
        <v>103</v>
      </c>
      <c r="B8">
        <v>90.68</v>
      </c>
      <c r="C8" s="5" t="s">
        <v>104</v>
      </c>
      <c r="D8" s="5" t="s">
        <v>245</v>
      </c>
      <c r="E8" s="5" t="s">
        <v>20</v>
      </c>
      <c r="F8" s="54">
        <v>8.0299999999999994</v>
      </c>
      <c r="G8" s="54">
        <v>0</v>
      </c>
      <c r="H8" s="54">
        <v>0.28000000000000003</v>
      </c>
      <c r="I8" s="54">
        <v>0.66371681415929207</v>
      </c>
      <c r="J8" s="54">
        <v>0.34628318584070172</v>
      </c>
    </row>
    <row r="11" spans="1:10" x14ac:dyDescent="0.35">
      <c r="A11" s="3" t="s">
        <v>50</v>
      </c>
    </row>
    <row r="12" spans="1:10" x14ac:dyDescent="0.3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10" x14ac:dyDescent="0.35">
      <c r="A13" t="s">
        <v>56</v>
      </c>
      <c r="B13">
        <v>1034</v>
      </c>
      <c r="C13" s="5" t="s">
        <v>88</v>
      </c>
      <c r="D13" s="5" t="s">
        <v>246</v>
      </c>
      <c r="E13" s="5" t="s">
        <v>20</v>
      </c>
    </row>
    <row r="14" spans="1:10" x14ac:dyDescent="0.35">
      <c r="A14" t="s">
        <v>58</v>
      </c>
      <c r="B14">
        <v>1141</v>
      </c>
      <c r="C14" s="5" t="s">
        <v>90</v>
      </c>
      <c r="D14" s="5" t="s">
        <v>247</v>
      </c>
      <c r="E14" s="5" t="s">
        <v>242</v>
      </c>
    </row>
    <row r="15" spans="1:10" x14ac:dyDescent="0.35">
      <c r="A15" t="s">
        <v>60</v>
      </c>
      <c r="B15">
        <v>956</v>
      </c>
      <c r="C15" s="5" t="s">
        <v>92</v>
      </c>
      <c r="D15" s="5" t="s">
        <v>248</v>
      </c>
      <c r="E15" s="5" t="s">
        <v>20</v>
      </c>
    </row>
    <row r="16" spans="1:10" x14ac:dyDescent="0.35">
      <c r="A16" t="s">
        <v>66</v>
      </c>
      <c r="B16">
        <v>976.9</v>
      </c>
      <c r="C16" s="5" t="s">
        <v>120</v>
      </c>
      <c r="D16" s="5" t="s">
        <v>249</v>
      </c>
      <c r="E16" s="5" t="s">
        <v>20</v>
      </c>
    </row>
  </sheetData>
  <phoneticPr fontId="12" type="noConversion"/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Лист15">
    <tabColor theme="9" tint="0.79998168889431442"/>
  </sheetPr>
  <dimension ref="A1:J24"/>
  <sheetViews>
    <sheetView workbookViewId="0">
      <selection activeCell="J17" sqref="J17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17</v>
      </c>
      <c r="B3" s="19">
        <v>90.37</v>
      </c>
      <c r="C3" s="7" t="s">
        <v>432</v>
      </c>
      <c r="D3" s="13">
        <v>45104</v>
      </c>
      <c r="E3" s="7" t="s">
        <v>20</v>
      </c>
      <c r="F3" s="51">
        <v>8.61</v>
      </c>
      <c r="G3" s="51">
        <v>0</v>
      </c>
      <c r="H3" s="51">
        <v>0.32</v>
      </c>
      <c r="I3" s="51">
        <v>0.50552922590837279</v>
      </c>
      <c r="J3" s="51">
        <v>0.19447077409162317</v>
      </c>
    </row>
    <row r="4" spans="1:10" x14ac:dyDescent="0.35">
      <c r="A4" t="s">
        <v>21</v>
      </c>
      <c r="B4" s="8">
        <v>90.37</v>
      </c>
      <c r="C4" s="7" t="s">
        <v>433</v>
      </c>
      <c r="D4" s="13">
        <v>45104</v>
      </c>
      <c r="E4" s="7" t="s">
        <v>20</v>
      </c>
      <c r="F4" s="51">
        <v>8.61</v>
      </c>
      <c r="G4" s="51">
        <v>0</v>
      </c>
      <c r="H4" s="51">
        <v>0.32</v>
      </c>
      <c r="I4" s="51">
        <v>0.50552922590837279</v>
      </c>
      <c r="J4" s="51">
        <v>0.19447077409162317</v>
      </c>
    </row>
    <row r="5" spans="1:10" x14ac:dyDescent="0.35">
      <c r="A5" t="s">
        <v>24</v>
      </c>
      <c r="B5" s="8">
        <v>90.45</v>
      </c>
      <c r="C5" s="7" t="s">
        <v>434</v>
      </c>
      <c r="D5" s="13">
        <v>44409</v>
      </c>
      <c r="E5" s="7" t="s">
        <v>20</v>
      </c>
      <c r="F5" s="50">
        <v>8.75</v>
      </c>
      <c r="G5" s="51">
        <v>0</v>
      </c>
      <c r="H5" s="51">
        <v>0.191</v>
      </c>
      <c r="I5" s="51">
        <v>0.50793650793650791</v>
      </c>
      <c r="J5" s="50">
        <v>0.10106349206348919</v>
      </c>
    </row>
    <row r="6" spans="1:10" x14ac:dyDescent="0.35">
      <c r="A6" t="s">
        <v>27</v>
      </c>
      <c r="B6" s="8">
        <v>90.45</v>
      </c>
      <c r="C6" s="7" t="s">
        <v>435</v>
      </c>
      <c r="D6" s="13">
        <v>44409</v>
      </c>
      <c r="E6" s="7" t="s">
        <v>20</v>
      </c>
      <c r="F6" s="51">
        <v>8.2100000000000009</v>
      </c>
      <c r="G6" s="51">
        <v>0</v>
      </c>
      <c r="H6" s="51">
        <v>0.318</v>
      </c>
      <c r="I6" s="51">
        <v>0.50632911392405067</v>
      </c>
      <c r="J6" s="51">
        <v>0.51567088607594558</v>
      </c>
    </row>
    <row r="7" spans="1:10" x14ac:dyDescent="0.35">
      <c r="A7" t="s">
        <v>29</v>
      </c>
      <c r="B7" s="8">
        <v>91.68</v>
      </c>
      <c r="C7" s="7" t="s">
        <v>250</v>
      </c>
      <c r="D7" s="13">
        <v>45883</v>
      </c>
      <c r="E7" s="7" t="s">
        <v>20</v>
      </c>
      <c r="F7" s="51">
        <v>6.92</v>
      </c>
      <c r="G7" s="51">
        <v>0</v>
      </c>
      <c r="H7" s="51">
        <v>0.58599999999999997</v>
      </c>
      <c r="I7" s="51">
        <v>0.52032520325203258</v>
      </c>
      <c r="J7" s="51">
        <v>0.29367479674796071</v>
      </c>
    </row>
    <row r="8" spans="1:10" x14ac:dyDescent="0.35">
      <c r="A8" t="s">
        <v>31</v>
      </c>
      <c r="B8" s="8">
        <v>92.35</v>
      </c>
      <c r="C8" s="7" t="s">
        <v>251</v>
      </c>
      <c r="D8" s="13">
        <v>45883</v>
      </c>
      <c r="E8" s="7" t="s">
        <v>20</v>
      </c>
      <c r="F8" s="51">
        <v>6.29</v>
      </c>
      <c r="G8" s="51">
        <v>0</v>
      </c>
      <c r="H8" s="51">
        <v>0.58699999999999997</v>
      </c>
      <c r="I8" s="51">
        <v>0.52032520325203258</v>
      </c>
      <c r="J8" s="51">
        <v>0.25267479674797311</v>
      </c>
    </row>
    <row r="9" spans="1:10" x14ac:dyDescent="0.35">
      <c r="A9" t="s">
        <v>33</v>
      </c>
      <c r="B9" s="8">
        <v>89.965000000000003</v>
      </c>
      <c r="C9" s="7" t="s">
        <v>436</v>
      </c>
      <c r="D9" s="13">
        <v>44056</v>
      </c>
      <c r="E9" s="12" t="s">
        <v>20</v>
      </c>
      <c r="F9" s="52">
        <v>9.19</v>
      </c>
      <c r="G9" s="52"/>
      <c r="H9" s="52">
        <v>0.31</v>
      </c>
      <c r="I9" s="52">
        <v>0.51</v>
      </c>
      <c r="J9" s="51">
        <v>2.4999999999997025E-2</v>
      </c>
    </row>
    <row r="10" spans="1:10" x14ac:dyDescent="0.35">
      <c r="A10" t="s">
        <v>35</v>
      </c>
      <c r="B10" s="8">
        <v>88.927000000000007</v>
      </c>
      <c r="C10" s="7" t="s">
        <v>437</v>
      </c>
      <c r="D10" s="13">
        <v>44056</v>
      </c>
      <c r="E10" s="12" t="s">
        <v>20</v>
      </c>
      <c r="F10" s="52">
        <v>10.119999999999999</v>
      </c>
      <c r="G10" s="52"/>
      <c r="H10" s="52">
        <v>0.42</v>
      </c>
      <c r="I10" s="52">
        <v>0.51</v>
      </c>
      <c r="J10" s="51">
        <v>2.2999999999994136E-2</v>
      </c>
    </row>
    <row r="11" spans="1:10" x14ac:dyDescent="0.35">
      <c r="A11" t="s">
        <v>37</v>
      </c>
      <c r="B11" s="8">
        <v>90.25</v>
      </c>
      <c r="C11" s="7" t="s">
        <v>438</v>
      </c>
      <c r="D11" s="13">
        <v>44873</v>
      </c>
      <c r="E11" s="7" t="s">
        <v>20</v>
      </c>
      <c r="F11" s="51">
        <v>8.6199999999999992</v>
      </c>
      <c r="G11" s="51">
        <v>0</v>
      </c>
      <c r="H11" s="51">
        <v>0.46</v>
      </c>
      <c r="I11" s="51">
        <v>0.52117263843648209</v>
      </c>
      <c r="J11" s="51">
        <v>0.14882736156351872</v>
      </c>
    </row>
    <row r="12" spans="1:10" x14ac:dyDescent="0.35">
      <c r="A12" t="s">
        <v>39</v>
      </c>
      <c r="B12" s="8">
        <v>90.32</v>
      </c>
      <c r="C12" s="7" t="s">
        <v>439</v>
      </c>
      <c r="D12" s="13">
        <v>44873</v>
      </c>
      <c r="E12" s="7" t="s">
        <v>20</v>
      </c>
      <c r="F12" s="51">
        <v>8.25</v>
      </c>
      <c r="G12" s="51">
        <v>0</v>
      </c>
      <c r="H12" s="51">
        <v>0.61</v>
      </c>
      <c r="I12" s="51">
        <v>0.58394160583941601</v>
      </c>
      <c r="J12" s="51">
        <v>0.23605839416059082</v>
      </c>
    </row>
    <row r="13" spans="1:10" x14ac:dyDescent="0.35">
      <c r="A13" t="s">
        <v>41</v>
      </c>
      <c r="B13" s="8">
        <v>89.45</v>
      </c>
      <c r="C13" s="7" t="s">
        <v>440</v>
      </c>
      <c r="D13" s="13">
        <v>44501</v>
      </c>
      <c r="E13" s="7" t="s">
        <v>20</v>
      </c>
      <c r="F13" s="51">
        <v>9.49</v>
      </c>
      <c r="G13" s="51">
        <v>0</v>
      </c>
      <c r="H13" s="51">
        <v>0.53</v>
      </c>
      <c r="I13" s="51">
        <v>0.5133928571428571</v>
      </c>
      <c r="J13" s="51">
        <v>1.6607142857139823E-2</v>
      </c>
    </row>
    <row r="14" spans="1:10" x14ac:dyDescent="0.35">
      <c r="A14" t="s">
        <v>43</v>
      </c>
      <c r="B14" s="8">
        <v>89.03</v>
      </c>
      <c r="C14" s="7" t="s">
        <v>441</v>
      </c>
      <c r="D14" s="13">
        <v>44501</v>
      </c>
      <c r="E14" s="7" t="s">
        <v>20</v>
      </c>
      <c r="F14" s="51">
        <v>9.8800000000000008</v>
      </c>
      <c r="G14" s="51">
        <v>0</v>
      </c>
      <c r="H14" s="51">
        <v>0.55000000000000004</v>
      </c>
      <c r="I14" s="51">
        <v>0.5149253731343284</v>
      </c>
      <c r="J14" s="51">
        <v>2.5074626865669636E-2</v>
      </c>
    </row>
    <row r="17" spans="1:5" x14ac:dyDescent="0.35">
      <c r="A17" s="3" t="s">
        <v>50</v>
      </c>
    </row>
    <row r="18" spans="1:5" x14ac:dyDescent="0.35">
      <c r="A18" s="4" t="s">
        <v>51</v>
      </c>
      <c r="B18" s="4" t="s">
        <v>477</v>
      </c>
      <c r="C18" s="4" t="s">
        <v>14</v>
      </c>
      <c r="D18" s="4" t="s">
        <v>15</v>
      </c>
      <c r="E18" s="4" t="s">
        <v>16</v>
      </c>
    </row>
    <row r="19" spans="1:5" x14ac:dyDescent="0.35">
      <c r="A19" t="s">
        <v>53</v>
      </c>
      <c r="B19" s="36">
        <v>1959</v>
      </c>
      <c r="C19" s="12" t="s">
        <v>478</v>
      </c>
      <c r="D19" s="13">
        <v>45104</v>
      </c>
      <c r="E19" s="7" t="s">
        <v>20</v>
      </c>
    </row>
    <row r="20" spans="1:5" x14ac:dyDescent="0.35">
      <c r="A20" t="s">
        <v>56</v>
      </c>
      <c r="B20" s="36">
        <v>1983</v>
      </c>
      <c r="C20" s="12" t="s">
        <v>479</v>
      </c>
      <c r="D20" s="13">
        <v>44409</v>
      </c>
      <c r="E20" s="12" t="s">
        <v>20</v>
      </c>
    </row>
    <row r="21" spans="1:5" x14ac:dyDescent="0.35">
      <c r="A21" t="s">
        <v>58</v>
      </c>
      <c r="B21" s="36">
        <v>1801</v>
      </c>
      <c r="C21" s="12" t="s">
        <v>480</v>
      </c>
      <c r="D21" s="13">
        <v>45883</v>
      </c>
      <c r="E21" s="12" t="s">
        <v>20</v>
      </c>
    </row>
    <row r="22" spans="1:5" x14ac:dyDescent="0.35">
      <c r="A22" t="s">
        <v>60</v>
      </c>
      <c r="B22" s="36">
        <v>1954</v>
      </c>
      <c r="C22" s="12" t="s">
        <v>481</v>
      </c>
      <c r="D22" s="13">
        <v>44056</v>
      </c>
      <c r="E22" s="12" t="s">
        <v>20</v>
      </c>
    </row>
    <row r="23" spans="1:5" x14ac:dyDescent="0.35">
      <c r="A23" t="s">
        <v>62</v>
      </c>
      <c r="B23" s="36">
        <v>1989</v>
      </c>
      <c r="C23" s="12" t="s">
        <v>482</v>
      </c>
      <c r="D23" s="13">
        <v>44873</v>
      </c>
      <c r="E23" s="7" t="s">
        <v>20</v>
      </c>
    </row>
    <row r="24" spans="1:5" x14ac:dyDescent="0.35">
      <c r="A24" t="s">
        <v>64</v>
      </c>
      <c r="B24" s="36">
        <v>1853</v>
      </c>
      <c r="C24" s="12" t="s">
        <v>483</v>
      </c>
      <c r="D24" s="13">
        <v>44501</v>
      </c>
      <c r="E24" s="7" t="s">
        <v>20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Лист16">
    <tabColor rgb="FFFFFF00"/>
  </sheetPr>
  <dimension ref="A1:J20"/>
  <sheetViews>
    <sheetView workbookViewId="0">
      <selection activeCell="H15" sqref="H15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77</v>
      </c>
      <c r="B3">
        <v>87.35</v>
      </c>
      <c r="C3" s="5" t="s">
        <v>252</v>
      </c>
      <c r="D3" s="5" t="s">
        <v>253</v>
      </c>
      <c r="E3" s="5" t="s">
        <v>20</v>
      </c>
      <c r="F3" s="51">
        <v>10.79</v>
      </c>
      <c r="G3" s="51">
        <v>0</v>
      </c>
      <c r="H3" s="51">
        <v>0.96</v>
      </c>
      <c r="I3" s="51">
        <v>0.5</v>
      </c>
      <c r="J3" s="51">
        <v>0.40000000000000657</v>
      </c>
    </row>
    <row r="4" spans="1:10" x14ac:dyDescent="0.35">
      <c r="A4" t="s">
        <v>80</v>
      </c>
      <c r="B4">
        <v>88.93</v>
      </c>
      <c r="C4" s="5" t="s">
        <v>254</v>
      </c>
      <c r="D4" s="5" t="s">
        <v>255</v>
      </c>
      <c r="E4" s="5" t="s">
        <v>20</v>
      </c>
      <c r="F4" s="51">
        <v>9.7899999999999991</v>
      </c>
      <c r="G4" s="51">
        <v>0</v>
      </c>
      <c r="H4" s="51">
        <v>0.72</v>
      </c>
      <c r="I4" s="51">
        <v>0.5</v>
      </c>
      <c r="J4" s="51">
        <v>5.9999999999994058E-2</v>
      </c>
    </row>
    <row r="5" spans="1:10" x14ac:dyDescent="0.35">
      <c r="A5" t="s">
        <v>83</v>
      </c>
      <c r="B5">
        <v>89.54</v>
      </c>
      <c r="C5" s="5" t="s">
        <v>256</v>
      </c>
      <c r="D5" s="5" t="s">
        <v>257</v>
      </c>
      <c r="E5" s="5" t="s">
        <v>20</v>
      </c>
      <c r="F5" s="50">
        <v>8.51</v>
      </c>
      <c r="G5" s="50">
        <v>0</v>
      </c>
      <c r="H5" s="50">
        <v>0.53</v>
      </c>
      <c r="I5" s="51">
        <v>0.5</v>
      </c>
      <c r="J5" s="51">
        <v>0.91999999999999393</v>
      </c>
    </row>
    <row r="6" spans="1:10" x14ac:dyDescent="0.35">
      <c r="A6" t="s">
        <v>138</v>
      </c>
      <c r="B6">
        <v>91.38</v>
      </c>
      <c r="C6" s="5" t="s">
        <v>258</v>
      </c>
      <c r="D6" s="5" t="s">
        <v>259</v>
      </c>
      <c r="E6" s="5" t="s">
        <v>242</v>
      </c>
      <c r="F6" s="50">
        <v>6.5</v>
      </c>
      <c r="G6" s="50">
        <v>0</v>
      </c>
      <c r="H6" s="50">
        <v>1.53</v>
      </c>
      <c r="I6" s="51">
        <v>0.5</v>
      </c>
      <c r="J6" s="51">
        <v>9.0000000000004521E-2</v>
      </c>
    </row>
    <row r="7" spans="1:10" x14ac:dyDescent="0.35">
      <c r="A7" t="s">
        <v>94</v>
      </c>
      <c r="B7">
        <v>91.96</v>
      </c>
      <c r="C7" s="5" t="s">
        <v>260</v>
      </c>
      <c r="D7" s="5" t="s">
        <v>261</v>
      </c>
      <c r="E7" s="5" t="s">
        <v>20</v>
      </c>
      <c r="F7" s="50">
        <v>6.65</v>
      </c>
      <c r="G7" s="50">
        <v>0</v>
      </c>
      <c r="H7" s="50">
        <v>0.48</v>
      </c>
      <c r="I7" s="51">
        <v>0.5</v>
      </c>
      <c r="J7" s="51">
        <v>0.41000000000000592</v>
      </c>
    </row>
    <row r="8" spans="1:10" x14ac:dyDescent="0.35">
      <c r="A8" t="s">
        <v>97</v>
      </c>
      <c r="B8">
        <v>91.34</v>
      </c>
      <c r="C8" s="5" t="s">
        <v>262</v>
      </c>
      <c r="D8" s="5" t="s">
        <v>263</v>
      </c>
      <c r="E8" s="5" t="s">
        <v>242</v>
      </c>
      <c r="F8" s="50">
        <v>6.7</v>
      </c>
      <c r="G8" s="50">
        <v>0</v>
      </c>
      <c r="H8" s="50">
        <v>0.96</v>
      </c>
      <c r="I8" s="51">
        <v>0.5</v>
      </c>
      <c r="J8" s="51">
        <v>0.49999999999999645</v>
      </c>
    </row>
    <row r="9" spans="1:10" x14ac:dyDescent="0.35">
      <c r="A9" t="s">
        <v>100</v>
      </c>
      <c r="B9">
        <v>92.21</v>
      </c>
      <c r="C9" s="5" t="s">
        <v>264</v>
      </c>
      <c r="D9" s="5" t="s">
        <v>265</v>
      </c>
      <c r="E9" s="5" t="s">
        <v>242</v>
      </c>
      <c r="F9" s="50">
        <v>6.32</v>
      </c>
      <c r="G9" s="50">
        <v>0</v>
      </c>
      <c r="H9" s="50">
        <v>0.53</v>
      </c>
      <c r="I9" s="51">
        <v>0.5</v>
      </c>
      <c r="J9" s="51">
        <v>0.44000000000000594</v>
      </c>
    </row>
    <row r="12" spans="1:10" x14ac:dyDescent="0.35">
      <c r="A12" s="3" t="s">
        <v>50</v>
      </c>
    </row>
    <row r="13" spans="1:10" x14ac:dyDescent="0.35">
      <c r="A13" s="4" t="s">
        <v>51</v>
      </c>
      <c r="B13" s="4" t="s">
        <v>52</v>
      </c>
      <c r="C13" s="4" t="s">
        <v>14</v>
      </c>
      <c r="D13" s="4" t="s">
        <v>15</v>
      </c>
      <c r="E13" s="4" t="s">
        <v>16</v>
      </c>
    </row>
    <row r="14" spans="1:10" x14ac:dyDescent="0.35">
      <c r="A14" t="s">
        <v>58</v>
      </c>
      <c r="B14">
        <v>3201.9</v>
      </c>
      <c r="C14" s="5" t="s">
        <v>90</v>
      </c>
      <c r="D14" s="5" t="s">
        <v>266</v>
      </c>
      <c r="E14" s="5" t="s">
        <v>20</v>
      </c>
    </row>
    <row r="15" spans="1:10" x14ac:dyDescent="0.35">
      <c r="A15" t="s">
        <v>60</v>
      </c>
      <c r="B15" s="15">
        <v>3201.9</v>
      </c>
      <c r="C15" s="14" t="s">
        <v>92</v>
      </c>
      <c r="D15" s="16">
        <v>43585</v>
      </c>
      <c r="E15" s="14" t="s">
        <v>20</v>
      </c>
    </row>
    <row r="16" spans="1:10" x14ac:dyDescent="0.35">
      <c r="A16" t="s">
        <v>62</v>
      </c>
      <c r="B16">
        <v>3740.3</v>
      </c>
      <c r="C16" s="5" t="s">
        <v>155</v>
      </c>
      <c r="D16" s="5" t="s">
        <v>267</v>
      </c>
      <c r="E16" s="5" t="s">
        <v>20</v>
      </c>
    </row>
    <row r="17" spans="1:5" x14ac:dyDescent="0.35">
      <c r="A17" t="s">
        <v>64</v>
      </c>
      <c r="B17">
        <v>2329.6</v>
      </c>
      <c r="C17" s="5" t="s">
        <v>156</v>
      </c>
      <c r="D17" s="5" t="s">
        <v>268</v>
      </c>
      <c r="E17" s="5" t="s">
        <v>20</v>
      </c>
    </row>
    <row r="18" spans="1:5" x14ac:dyDescent="0.35">
      <c r="A18" t="s">
        <v>66</v>
      </c>
      <c r="B18">
        <v>2341.6</v>
      </c>
      <c r="C18" s="5" t="s">
        <v>120</v>
      </c>
      <c r="D18" s="5" t="s">
        <v>269</v>
      </c>
      <c r="E18" s="5" t="s">
        <v>20</v>
      </c>
    </row>
    <row r="19" spans="1:5" x14ac:dyDescent="0.35">
      <c r="A19" t="s">
        <v>158</v>
      </c>
      <c r="B19">
        <v>2582.6999999999998</v>
      </c>
      <c r="C19" s="5" t="s">
        <v>159</v>
      </c>
      <c r="D19" s="5" t="s">
        <v>270</v>
      </c>
      <c r="E19" s="5" t="s">
        <v>271</v>
      </c>
    </row>
    <row r="20" spans="1:5" x14ac:dyDescent="0.35">
      <c r="A20" t="s">
        <v>122</v>
      </c>
      <c r="B20">
        <v>2576.6999999999998</v>
      </c>
      <c r="C20" s="5" t="s">
        <v>123</v>
      </c>
      <c r="D20" s="5" t="s">
        <v>272</v>
      </c>
      <c r="E20" s="5" t="s">
        <v>20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Лист17">
    <tabColor rgb="FFFFFF00"/>
  </sheetPr>
  <dimension ref="A1:J23"/>
  <sheetViews>
    <sheetView workbookViewId="0">
      <selection activeCell="H20" sqref="H20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138</v>
      </c>
      <c r="B3">
        <v>89.53</v>
      </c>
      <c r="C3" s="7" t="s">
        <v>462</v>
      </c>
      <c r="D3" s="5" t="s">
        <v>273</v>
      </c>
      <c r="E3" s="5" t="s">
        <v>20</v>
      </c>
      <c r="F3" s="51">
        <v>9.76</v>
      </c>
      <c r="G3" s="51">
        <v>0</v>
      </c>
      <c r="H3" s="51">
        <v>0.03</v>
      </c>
      <c r="I3" s="51">
        <v>0.49984379881287094</v>
      </c>
      <c r="J3" s="51">
        <v>0.18015620118712811</v>
      </c>
    </row>
    <row r="4" spans="1:10" x14ac:dyDescent="0.35">
      <c r="A4" t="s">
        <v>94</v>
      </c>
      <c r="B4">
        <v>89.13</v>
      </c>
      <c r="C4" s="7" t="s">
        <v>463</v>
      </c>
      <c r="D4" s="5" t="s">
        <v>274</v>
      </c>
      <c r="E4" s="5" t="s">
        <v>20</v>
      </c>
      <c r="F4" s="51">
        <v>10.11</v>
      </c>
      <c r="G4" s="51">
        <v>0</v>
      </c>
      <c r="H4" s="51">
        <v>0.08</v>
      </c>
      <c r="I4" s="51">
        <v>0.55058499655884374</v>
      </c>
      <c r="J4" s="51">
        <v>0.12941500344116141</v>
      </c>
    </row>
    <row r="5" spans="1:10" x14ac:dyDescent="0.35">
      <c r="A5" t="s">
        <v>97</v>
      </c>
      <c r="B5">
        <v>90.97</v>
      </c>
      <c r="C5" s="7" t="s">
        <v>464</v>
      </c>
      <c r="D5" s="5" t="s">
        <v>275</v>
      </c>
      <c r="E5" s="5" t="s">
        <v>20</v>
      </c>
      <c r="F5" s="50">
        <v>8.35</v>
      </c>
      <c r="G5" s="50">
        <v>0</v>
      </c>
      <c r="H5" s="50">
        <v>0.06</v>
      </c>
      <c r="I5" s="50">
        <v>0.5</v>
      </c>
      <c r="J5" s="50">
        <v>0.12000000000000144</v>
      </c>
    </row>
    <row r="6" spans="1:10" x14ac:dyDescent="0.35">
      <c r="A6" t="s">
        <v>100</v>
      </c>
      <c r="B6">
        <v>91.02</v>
      </c>
      <c r="C6" s="7" t="s">
        <v>465</v>
      </c>
      <c r="D6" s="5" t="s">
        <v>276</v>
      </c>
      <c r="E6" s="5" t="s">
        <v>20</v>
      </c>
      <c r="F6" s="51">
        <v>8.2899999999999991</v>
      </c>
      <c r="G6" s="51">
        <v>0</v>
      </c>
      <c r="H6" s="51">
        <v>0.1</v>
      </c>
      <c r="I6" s="51">
        <v>0.5</v>
      </c>
      <c r="J6" s="51">
        <v>9.0000000000004854E-2</v>
      </c>
    </row>
    <row r="7" spans="1:10" x14ac:dyDescent="0.35">
      <c r="A7" t="s">
        <v>103</v>
      </c>
      <c r="B7">
        <v>90.87</v>
      </c>
      <c r="C7" s="7" t="s">
        <v>466</v>
      </c>
      <c r="D7" s="5" t="s">
        <v>278</v>
      </c>
      <c r="E7" s="5" t="s">
        <v>20</v>
      </c>
      <c r="F7" s="51">
        <v>8.4499999999999993</v>
      </c>
      <c r="G7" s="51">
        <v>0</v>
      </c>
      <c r="H7" s="51">
        <v>0.05</v>
      </c>
      <c r="I7" s="51">
        <v>0.5</v>
      </c>
      <c r="J7" s="51">
        <v>0.12999999999999612</v>
      </c>
    </row>
    <row r="8" spans="1:10" x14ac:dyDescent="0.35">
      <c r="A8" t="s">
        <v>105</v>
      </c>
      <c r="B8">
        <v>90.43</v>
      </c>
      <c r="C8" s="7" t="s">
        <v>467</v>
      </c>
      <c r="D8" s="5" t="s">
        <v>280</v>
      </c>
      <c r="E8" s="5" t="s">
        <v>20</v>
      </c>
      <c r="F8" s="50">
        <v>8.86</v>
      </c>
      <c r="G8" s="50">
        <v>0</v>
      </c>
      <c r="H8" s="50">
        <v>0.06</v>
      </c>
      <c r="I8" s="50">
        <v>0.5</v>
      </c>
      <c r="J8" s="50">
        <v>0.14999999999999369</v>
      </c>
    </row>
    <row r="9" spans="1:10" x14ac:dyDescent="0.35">
      <c r="A9" t="s">
        <v>108</v>
      </c>
      <c r="B9">
        <v>90.7</v>
      </c>
      <c r="C9" s="7" t="s">
        <v>468</v>
      </c>
      <c r="D9" s="5" t="s">
        <v>281</v>
      </c>
      <c r="E9" s="5" t="s">
        <v>20</v>
      </c>
      <c r="F9" s="51">
        <v>8.61</v>
      </c>
      <c r="G9" s="51">
        <v>0</v>
      </c>
      <c r="H9" s="51">
        <v>0.08</v>
      </c>
      <c r="I9" s="51">
        <v>0.49984379881287094</v>
      </c>
      <c r="J9" s="51">
        <v>0.11015620118712682</v>
      </c>
    </row>
    <row r="10" spans="1:10" x14ac:dyDescent="0.35">
      <c r="A10" t="s">
        <v>111</v>
      </c>
      <c r="B10">
        <v>91.43</v>
      </c>
      <c r="C10" s="7" t="s">
        <v>469</v>
      </c>
      <c r="D10" s="5" t="s">
        <v>282</v>
      </c>
      <c r="E10" s="5" t="s">
        <v>20</v>
      </c>
      <c r="F10" s="51">
        <v>7.83</v>
      </c>
      <c r="G10" s="51">
        <v>0</v>
      </c>
      <c r="H10" s="51">
        <v>0.106</v>
      </c>
      <c r="I10" s="51">
        <v>0.5</v>
      </c>
      <c r="J10" s="51">
        <v>0.13399999999999312</v>
      </c>
    </row>
    <row r="13" spans="1:10" x14ac:dyDescent="0.35">
      <c r="A13" s="3" t="s">
        <v>50</v>
      </c>
    </row>
    <row r="14" spans="1:10" x14ac:dyDescent="0.3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10" x14ac:dyDescent="0.35">
      <c r="A15" t="s">
        <v>53</v>
      </c>
      <c r="B15">
        <v>3245.5</v>
      </c>
      <c r="C15" s="5" t="s">
        <v>86</v>
      </c>
      <c r="D15" s="5" t="s">
        <v>283</v>
      </c>
      <c r="E15" s="5" t="s">
        <v>20</v>
      </c>
    </row>
    <row r="16" spans="1:10" x14ac:dyDescent="0.35">
      <c r="A16" t="s">
        <v>66</v>
      </c>
      <c r="B16">
        <v>1043</v>
      </c>
      <c r="C16" s="5" t="s">
        <v>120</v>
      </c>
      <c r="D16" s="5" t="s">
        <v>284</v>
      </c>
      <c r="E16" s="5" t="s">
        <v>20</v>
      </c>
    </row>
    <row r="17" spans="1:5" x14ac:dyDescent="0.35">
      <c r="A17" t="s">
        <v>158</v>
      </c>
      <c r="B17">
        <v>1042.2</v>
      </c>
      <c r="C17" s="5" t="s">
        <v>159</v>
      </c>
      <c r="D17" s="5" t="s">
        <v>285</v>
      </c>
      <c r="E17" s="5" t="s">
        <v>20</v>
      </c>
    </row>
    <row r="18" spans="1:5" x14ac:dyDescent="0.35">
      <c r="A18" t="s">
        <v>122</v>
      </c>
      <c r="B18">
        <v>854.2</v>
      </c>
      <c r="C18" s="5" t="s">
        <v>123</v>
      </c>
      <c r="D18" s="5" t="s">
        <v>286</v>
      </c>
      <c r="E18" s="5" t="s">
        <v>20</v>
      </c>
    </row>
    <row r="19" spans="1:5" x14ac:dyDescent="0.35">
      <c r="A19" t="s">
        <v>100</v>
      </c>
      <c r="B19">
        <v>860.3</v>
      </c>
      <c r="C19" s="5" t="s">
        <v>161</v>
      </c>
      <c r="D19" s="5" t="s">
        <v>287</v>
      </c>
      <c r="E19" s="5" t="s">
        <v>20</v>
      </c>
    </row>
    <row r="20" spans="1:5" x14ac:dyDescent="0.35">
      <c r="A20" t="s">
        <v>103</v>
      </c>
      <c r="B20">
        <v>2264.9</v>
      </c>
      <c r="C20" s="5" t="s">
        <v>125</v>
      </c>
      <c r="D20" s="5" t="s">
        <v>288</v>
      </c>
      <c r="E20" s="5" t="s">
        <v>20</v>
      </c>
    </row>
    <row r="21" spans="1:5" x14ac:dyDescent="0.35">
      <c r="A21" t="s">
        <v>105</v>
      </c>
      <c r="B21">
        <v>2245.87</v>
      </c>
      <c r="C21" s="5" t="s">
        <v>127</v>
      </c>
      <c r="D21" s="5" t="s">
        <v>289</v>
      </c>
      <c r="E21" s="5" t="s">
        <v>20</v>
      </c>
    </row>
    <row r="22" spans="1:5" x14ac:dyDescent="0.35">
      <c r="A22" t="s">
        <v>108</v>
      </c>
      <c r="B22">
        <v>2194.8000000000002</v>
      </c>
      <c r="C22" s="5" t="s">
        <v>129</v>
      </c>
      <c r="D22" s="5" t="s">
        <v>290</v>
      </c>
      <c r="E22" s="5" t="s">
        <v>20</v>
      </c>
    </row>
    <row r="23" spans="1:5" x14ac:dyDescent="0.35">
      <c r="A23" t="s">
        <v>111</v>
      </c>
      <c r="B23">
        <v>2183.1</v>
      </c>
      <c r="C23" s="5" t="s">
        <v>131</v>
      </c>
      <c r="D23" s="5" t="s">
        <v>291</v>
      </c>
      <c r="E23" s="5" t="s">
        <v>20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Лист18">
    <tabColor rgb="FFFFFF00"/>
  </sheetPr>
  <dimension ref="A1:J19"/>
  <sheetViews>
    <sheetView workbookViewId="0">
      <selection activeCell="J21" sqref="J21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80</v>
      </c>
      <c r="B3">
        <v>88.65</v>
      </c>
      <c r="C3" s="5" t="s">
        <v>254</v>
      </c>
      <c r="D3" s="5" t="s">
        <v>292</v>
      </c>
      <c r="E3" s="5" t="s">
        <v>20</v>
      </c>
      <c r="F3" s="50">
        <v>10.46</v>
      </c>
      <c r="G3" s="51">
        <v>0</v>
      </c>
      <c r="H3" s="51">
        <v>0.16</v>
      </c>
      <c r="I3" s="51">
        <v>0.68</v>
      </c>
      <c r="J3" s="51">
        <v>4.9999999999993383E-2</v>
      </c>
    </row>
    <row r="4" spans="1:10" x14ac:dyDescent="0.35">
      <c r="A4" t="s">
        <v>83</v>
      </c>
      <c r="B4">
        <v>90.81</v>
      </c>
      <c r="C4" s="5" t="s">
        <v>256</v>
      </c>
      <c r="D4" s="5" t="s">
        <v>293</v>
      </c>
      <c r="E4" s="5" t="s">
        <v>20</v>
      </c>
      <c r="F4" s="51">
        <v>7.83</v>
      </c>
      <c r="G4" s="51">
        <v>0</v>
      </c>
      <c r="H4" s="51">
        <v>1.45</v>
      </c>
      <c r="I4" s="51">
        <v>0.50837320574162681</v>
      </c>
      <c r="J4" s="51">
        <v>4.1626794258371458E-2</v>
      </c>
    </row>
    <row r="5" spans="1:10" x14ac:dyDescent="0.35">
      <c r="A5" t="s">
        <v>138</v>
      </c>
      <c r="B5">
        <v>91.71</v>
      </c>
      <c r="C5" s="5" t="s">
        <v>258</v>
      </c>
      <c r="D5" s="5" t="s">
        <v>294</v>
      </c>
      <c r="E5" s="5" t="s">
        <v>20</v>
      </c>
      <c r="F5" s="51">
        <v>6.04</v>
      </c>
      <c r="G5" s="51">
        <v>0</v>
      </c>
      <c r="H5" s="51">
        <v>0.45</v>
      </c>
      <c r="I5" s="51">
        <v>0.50206733608978138</v>
      </c>
      <c r="J5" s="51">
        <v>0.20793266391022147</v>
      </c>
    </row>
    <row r="6" spans="1:10" x14ac:dyDescent="0.35">
      <c r="A6" t="s">
        <v>94</v>
      </c>
      <c r="B6">
        <v>87.96</v>
      </c>
      <c r="C6" s="5" t="s">
        <v>260</v>
      </c>
      <c r="D6" s="5" t="s">
        <v>295</v>
      </c>
      <c r="E6" s="5" t="s">
        <v>20</v>
      </c>
      <c r="F6" s="51">
        <v>10.69</v>
      </c>
      <c r="G6" s="51">
        <v>0</v>
      </c>
      <c r="H6" s="51">
        <v>0.69</v>
      </c>
      <c r="I6" s="51">
        <v>0.59859154929577463</v>
      </c>
      <c r="J6" s="51">
        <v>6.1408450704232176E-2</v>
      </c>
    </row>
    <row r="7" spans="1:10" x14ac:dyDescent="0.35">
      <c r="A7" t="s">
        <v>97</v>
      </c>
      <c r="B7">
        <v>90.69</v>
      </c>
      <c r="C7" s="5" t="s">
        <v>262</v>
      </c>
      <c r="D7" s="5" t="s">
        <v>296</v>
      </c>
      <c r="E7" s="5" t="s">
        <v>20</v>
      </c>
      <c r="F7" s="51">
        <v>5.85</v>
      </c>
      <c r="G7" s="51">
        <v>0</v>
      </c>
      <c r="H7" s="50">
        <v>2.88</v>
      </c>
      <c r="I7" s="51">
        <v>0.54830287206266315</v>
      </c>
      <c r="J7" s="51">
        <v>3.1697127937339586E-2</v>
      </c>
    </row>
    <row r="8" spans="1:10" x14ac:dyDescent="0.35">
      <c r="A8" t="s">
        <v>100</v>
      </c>
      <c r="B8">
        <v>91.77</v>
      </c>
      <c r="C8" s="5" t="s">
        <v>264</v>
      </c>
      <c r="D8" s="5" t="s">
        <v>297</v>
      </c>
      <c r="E8" s="5" t="s">
        <v>20</v>
      </c>
      <c r="F8" s="50">
        <v>6.67</v>
      </c>
      <c r="G8" s="51">
        <v>0</v>
      </c>
      <c r="H8" s="51">
        <v>0.51</v>
      </c>
      <c r="I8" s="51">
        <v>0.5</v>
      </c>
      <c r="J8" s="51">
        <v>2.0000000000002904E-2</v>
      </c>
    </row>
    <row r="9" spans="1:10" x14ac:dyDescent="0.35">
      <c r="A9" t="s">
        <v>103</v>
      </c>
      <c r="B9">
        <v>89.92</v>
      </c>
      <c r="C9" s="5" t="s">
        <v>277</v>
      </c>
      <c r="D9" s="5" t="s">
        <v>298</v>
      </c>
      <c r="E9" s="5" t="s">
        <v>20</v>
      </c>
      <c r="F9" s="51">
        <v>8.7899999999999991</v>
      </c>
      <c r="G9" s="51">
        <v>0</v>
      </c>
      <c r="H9" s="51">
        <v>0.45</v>
      </c>
      <c r="I9" s="51">
        <v>0.51597051597051602</v>
      </c>
      <c r="J9" s="51">
        <v>0.32402948402948317</v>
      </c>
    </row>
    <row r="10" spans="1:10" x14ac:dyDescent="0.35">
      <c r="A10" t="s">
        <v>105</v>
      </c>
      <c r="B10">
        <v>89.77</v>
      </c>
      <c r="C10" s="5" t="s">
        <v>279</v>
      </c>
      <c r="D10" s="5" t="s">
        <v>299</v>
      </c>
      <c r="E10" s="5" t="s">
        <v>20</v>
      </c>
      <c r="F10" s="50">
        <v>9.0299999999999994</v>
      </c>
      <c r="G10" s="51">
        <v>0</v>
      </c>
      <c r="H10" s="51">
        <v>0.64</v>
      </c>
      <c r="I10" s="51">
        <v>0.49411764705882355</v>
      </c>
      <c r="J10" s="51">
        <v>6.5882352941181055E-2</v>
      </c>
    </row>
    <row r="13" spans="1:10" x14ac:dyDescent="0.35">
      <c r="A13" s="3" t="s">
        <v>50</v>
      </c>
    </row>
    <row r="14" spans="1:10" x14ac:dyDescent="0.3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10" x14ac:dyDescent="0.35">
      <c r="A15" t="s">
        <v>60</v>
      </c>
      <c r="B15">
        <v>3159.9</v>
      </c>
      <c r="C15" s="5" t="s">
        <v>92</v>
      </c>
      <c r="D15" s="5" t="s">
        <v>300</v>
      </c>
      <c r="E15" s="5" t="s">
        <v>20</v>
      </c>
    </row>
    <row r="16" spans="1:10" x14ac:dyDescent="0.35">
      <c r="A16" t="s">
        <v>62</v>
      </c>
      <c r="B16">
        <v>3273.9</v>
      </c>
      <c r="C16" s="5" t="s">
        <v>155</v>
      </c>
      <c r="D16" s="5" t="s">
        <v>301</v>
      </c>
      <c r="E16" s="5" t="s">
        <v>20</v>
      </c>
    </row>
    <row r="17" spans="1:5" x14ac:dyDescent="0.35">
      <c r="A17" t="s">
        <v>64</v>
      </c>
      <c r="B17">
        <v>2235.5</v>
      </c>
      <c r="C17" s="5" t="s">
        <v>156</v>
      </c>
      <c r="D17" s="5" t="s">
        <v>302</v>
      </c>
      <c r="E17" s="5" t="s">
        <v>20</v>
      </c>
    </row>
    <row r="18" spans="1:5" x14ac:dyDescent="0.35">
      <c r="A18" t="s">
        <v>66</v>
      </c>
      <c r="B18">
        <v>2238.1</v>
      </c>
      <c r="C18" s="5" t="s">
        <v>120</v>
      </c>
      <c r="D18" s="5" t="s">
        <v>303</v>
      </c>
      <c r="E18" s="5" t="s">
        <v>20</v>
      </c>
    </row>
    <row r="19" spans="1:5" x14ac:dyDescent="0.35">
      <c r="A19" t="s">
        <v>158</v>
      </c>
      <c r="B19" s="15">
        <v>2248.7199999999998</v>
      </c>
      <c r="C19" s="14" t="s">
        <v>470</v>
      </c>
      <c r="D19" s="14" t="s">
        <v>304</v>
      </c>
      <c r="E19" s="7" t="s">
        <v>20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Лист19"/>
  <dimension ref="A1:J18"/>
  <sheetViews>
    <sheetView topLeftCell="B1" workbookViewId="0">
      <selection activeCell="D21" sqref="D21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68</v>
      </c>
      <c r="B3">
        <v>90.81</v>
      </c>
      <c r="C3" s="5" t="s">
        <v>305</v>
      </c>
      <c r="D3" s="5" t="s">
        <v>306</v>
      </c>
      <c r="E3" s="5" t="s">
        <v>20</v>
      </c>
      <c r="F3" s="55">
        <v>8.7449999999999992</v>
      </c>
      <c r="G3" s="51">
        <v>0</v>
      </c>
      <c r="H3" s="51">
        <v>7.0000000000000007E-2</v>
      </c>
      <c r="I3" s="55">
        <v>0.37</v>
      </c>
      <c r="J3" s="56">
        <v>0.01</v>
      </c>
    </row>
    <row r="4" spans="1:10" x14ac:dyDescent="0.35">
      <c r="A4" t="s">
        <v>71</v>
      </c>
      <c r="B4">
        <v>91.04</v>
      </c>
      <c r="C4" s="5" t="s">
        <v>307</v>
      </c>
      <c r="D4" s="5" t="s">
        <v>308</v>
      </c>
      <c r="E4" s="5" t="s">
        <v>20</v>
      </c>
      <c r="F4" s="55">
        <v>8.4700000000000006</v>
      </c>
      <c r="G4" s="51">
        <v>0</v>
      </c>
      <c r="H4" s="55">
        <v>0.19</v>
      </c>
      <c r="I4" s="55">
        <v>0.28999999999999998</v>
      </c>
      <c r="J4" s="55">
        <v>0.01</v>
      </c>
    </row>
    <row r="5" spans="1:10" x14ac:dyDescent="0.35">
      <c r="A5" t="s">
        <v>74</v>
      </c>
      <c r="B5">
        <v>90.66</v>
      </c>
      <c r="C5" s="5" t="s">
        <v>309</v>
      </c>
      <c r="D5" s="5" t="s">
        <v>280</v>
      </c>
      <c r="E5" s="5" t="s">
        <v>20</v>
      </c>
      <c r="F5" s="55">
        <v>8.9</v>
      </c>
      <c r="G5" s="51">
        <v>0</v>
      </c>
      <c r="H5" s="51">
        <v>0.13</v>
      </c>
      <c r="I5" s="55">
        <v>0.3</v>
      </c>
      <c r="J5" s="51">
        <v>0.01</v>
      </c>
    </row>
    <row r="6" spans="1:10" x14ac:dyDescent="0.35">
      <c r="A6" t="s">
        <v>77</v>
      </c>
      <c r="B6">
        <v>89.83</v>
      </c>
      <c r="C6" s="5" t="s">
        <v>310</v>
      </c>
      <c r="D6" s="5" t="s">
        <v>311</v>
      </c>
      <c r="E6" s="5" t="s">
        <v>20</v>
      </c>
      <c r="F6" s="55">
        <v>9.82</v>
      </c>
      <c r="G6" s="51">
        <v>0</v>
      </c>
      <c r="H6" s="51">
        <v>0.1</v>
      </c>
      <c r="I6" s="55">
        <v>0.24</v>
      </c>
      <c r="J6" s="55">
        <v>0.01</v>
      </c>
    </row>
    <row r="7" spans="1:10" x14ac:dyDescent="0.35">
      <c r="A7" t="s">
        <v>80</v>
      </c>
      <c r="B7">
        <v>90.62</v>
      </c>
      <c r="C7" s="5" t="s">
        <v>312</v>
      </c>
      <c r="D7" s="5" t="s">
        <v>313</v>
      </c>
      <c r="E7" s="5" t="s">
        <v>20</v>
      </c>
      <c r="F7" s="55">
        <v>8.8800000000000008</v>
      </c>
      <c r="G7" s="51">
        <v>0</v>
      </c>
      <c r="H7" s="51">
        <v>0.2</v>
      </c>
      <c r="I7" s="55">
        <v>0.3</v>
      </c>
      <c r="J7" s="55">
        <v>0</v>
      </c>
    </row>
    <row r="8" spans="1:10" x14ac:dyDescent="0.35">
      <c r="A8" t="s">
        <v>83</v>
      </c>
      <c r="B8">
        <v>90.206000000000003</v>
      </c>
      <c r="C8" s="5" t="s">
        <v>314</v>
      </c>
      <c r="D8" s="5" t="s">
        <v>315</v>
      </c>
      <c r="E8" s="5" t="s">
        <v>20</v>
      </c>
      <c r="F8" s="55">
        <v>9.35</v>
      </c>
      <c r="G8" s="51">
        <v>0</v>
      </c>
      <c r="H8" s="51">
        <v>0.14499999999999999</v>
      </c>
      <c r="I8" s="55">
        <v>0.28999999999999998</v>
      </c>
      <c r="J8" s="55">
        <v>8.9999999999999993E-3</v>
      </c>
    </row>
    <row r="11" spans="1:10" x14ac:dyDescent="0.35">
      <c r="A11" s="3" t="s">
        <v>50</v>
      </c>
    </row>
    <row r="12" spans="1:10" x14ac:dyDescent="0.35">
      <c r="A12" s="4" t="s">
        <v>51</v>
      </c>
      <c r="B12" s="4" t="s">
        <v>52</v>
      </c>
      <c r="C12" s="4" t="s">
        <v>14</v>
      </c>
      <c r="D12" s="4" t="s">
        <v>15</v>
      </c>
      <c r="E12" s="4" t="s">
        <v>16</v>
      </c>
    </row>
    <row r="13" spans="1:10" x14ac:dyDescent="0.35">
      <c r="A13" t="s">
        <v>53</v>
      </c>
      <c r="B13">
        <v>2115.6999999999998</v>
      </c>
      <c r="C13" s="5" t="s">
        <v>86</v>
      </c>
      <c r="D13" s="5" t="s">
        <v>316</v>
      </c>
      <c r="E13" s="5" t="s">
        <v>20</v>
      </c>
    </row>
    <row r="14" spans="1:10" x14ac:dyDescent="0.35">
      <c r="A14" t="s">
        <v>56</v>
      </c>
      <c r="B14">
        <v>2089.4</v>
      </c>
      <c r="C14" s="5" t="s">
        <v>88</v>
      </c>
      <c r="D14" s="5" t="s">
        <v>317</v>
      </c>
      <c r="E14" s="5" t="s">
        <v>20</v>
      </c>
    </row>
    <row r="15" spans="1:10" x14ac:dyDescent="0.35">
      <c r="A15" t="s">
        <v>58</v>
      </c>
      <c r="B15">
        <v>2083.6999999999998</v>
      </c>
      <c r="C15" s="5" t="s">
        <v>90</v>
      </c>
      <c r="D15" s="20">
        <v>45826</v>
      </c>
      <c r="E15" s="5" t="s">
        <v>20</v>
      </c>
    </row>
    <row r="16" spans="1:10" x14ac:dyDescent="0.35">
      <c r="A16" t="s">
        <v>60</v>
      </c>
      <c r="B16">
        <v>2141.1</v>
      </c>
      <c r="C16" s="5" t="s">
        <v>92</v>
      </c>
      <c r="D16" s="5" t="s">
        <v>318</v>
      </c>
      <c r="E16" s="5" t="s">
        <v>20</v>
      </c>
    </row>
    <row r="17" spans="1:5" x14ac:dyDescent="0.35">
      <c r="A17" t="s">
        <v>62</v>
      </c>
      <c r="B17">
        <v>2139.6999999999998</v>
      </c>
      <c r="C17" s="5" t="s">
        <v>155</v>
      </c>
      <c r="D17" s="5" t="s">
        <v>319</v>
      </c>
      <c r="E17" s="5" t="s">
        <v>20</v>
      </c>
    </row>
    <row r="18" spans="1:5" x14ac:dyDescent="0.35">
      <c r="A18" t="s">
        <v>64</v>
      </c>
      <c r="B18">
        <v>2136.4</v>
      </c>
      <c r="C18" s="5" t="s">
        <v>156</v>
      </c>
      <c r="D18" s="5" t="s">
        <v>320</v>
      </c>
      <c r="E18" s="5" t="s">
        <v>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Лист20">
    <tabColor rgb="FFFFFF00"/>
  </sheetPr>
  <dimension ref="A1:K15"/>
  <sheetViews>
    <sheetView workbookViewId="0">
      <selection activeCell="K24" sqref="K24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1" x14ac:dyDescent="0.35">
      <c r="A1" s="3" t="s">
        <v>11</v>
      </c>
    </row>
    <row r="2" spans="1:11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G2" s="44" t="s">
        <v>508</v>
      </c>
      <c r="H2" s="44" t="s">
        <v>509</v>
      </c>
      <c r="I2" s="44" t="s">
        <v>510</v>
      </c>
      <c r="J2" s="44" t="s">
        <v>511</v>
      </c>
      <c r="K2" s="44" t="s">
        <v>512</v>
      </c>
    </row>
    <row r="3" spans="1:11" x14ac:dyDescent="0.35">
      <c r="A3" s="34" t="s">
        <v>68</v>
      </c>
      <c r="B3" s="21">
        <v>90.13</v>
      </c>
      <c r="C3" s="5" t="s">
        <v>195</v>
      </c>
      <c r="D3" s="22">
        <v>45504</v>
      </c>
      <c r="E3" s="5" t="s">
        <v>321</v>
      </c>
      <c r="F3" s="5" t="s">
        <v>20</v>
      </c>
      <c r="G3" s="51">
        <v>8.52</v>
      </c>
      <c r="H3" s="51">
        <v>0</v>
      </c>
      <c r="I3" s="51">
        <v>0.83</v>
      </c>
      <c r="J3" s="51">
        <v>0.5</v>
      </c>
      <c r="K3" s="51">
        <v>2.0000000000005014E-2</v>
      </c>
    </row>
    <row r="4" spans="1:11" x14ac:dyDescent="0.35">
      <c r="A4" s="34" t="s">
        <v>71</v>
      </c>
      <c r="B4" s="21">
        <v>91.73</v>
      </c>
      <c r="C4" s="5" t="s">
        <v>198</v>
      </c>
      <c r="D4" s="22">
        <v>44074</v>
      </c>
      <c r="E4" s="5" t="s">
        <v>322</v>
      </c>
      <c r="F4" s="5" t="s">
        <v>20</v>
      </c>
      <c r="G4" s="51">
        <v>7.18</v>
      </c>
      <c r="H4" s="51">
        <v>0</v>
      </c>
      <c r="I4" s="51">
        <v>0.56999999999999995</v>
      </c>
      <c r="J4" s="51">
        <v>0.49707602339181284</v>
      </c>
      <c r="K4" s="51">
        <v>2.2923976608183516E-2</v>
      </c>
    </row>
    <row r="5" spans="1:11" x14ac:dyDescent="0.35">
      <c r="A5" s="34" t="s">
        <v>74</v>
      </c>
      <c r="B5" s="21">
        <v>92.23</v>
      </c>
      <c r="C5" s="5" t="s">
        <v>200</v>
      </c>
      <c r="D5" s="22">
        <v>41220</v>
      </c>
      <c r="E5" s="5" t="s">
        <v>323</v>
      </c>
      <c r="F5" s="5" t="s">
        <v>20</v>
      </c>
      <c r="G5" s="54">
        <v>5.2</v>
      </c>
      <c r="H5" s="54"/>
      <c r="I5" s="54">
        <v>2.04</v>
      </c>
      <c r="J5" s="54">
        <v>0.5</v>
      </c>
      <c r="K5" s="54">
        <v>2.9999999999995808E-2</v>
      </c>
    </row>
    <row r="6" spans="1:11" x14ac:dyDescent="0.35">
      <c r="A6" s="34" t="s">
        <v>77</v>
      </c>
      <c r="B6" s="21">
        <v>90.17</v>
      </c>
      <c r="C6" s="5" t="s">
        <v>202</v>
      </c>
      <c r="D6" s="22">
        <v>45223</v>
      </c>
      <c r="E6" s="5" t="s">
        <v>324</v>
      </c>
      <c r="F6" s="5" t="s">
        <v>20</v>
      </c>
      <c r="G6" s="50">
        <v>8.77</v>
      </c>
      <c r="H6" s="50">
        <v>0</v>
      </c>
      <c r="I6" s="50">
        <v>0.54</v>
      </c>
      <c r="J6" s="50">
        <v>0.5</v>
      </c>
      <c r="K6" s="50">
        <v>1.9999999999998685E-2</v>
      </c>
    </row>
    <row r="7" spans="1:11" x14ac:dyDescent="0.35">
      <c r="A7" s="34" t="s">
        <v>80</v>
      </c>
      <c r="B7" s="21">
        <v>89.84</v>
      </c>
      <c r="C7" s="5" t="s">
        <v>204</v>
      </c>
      <c r="D7" s="22">
        <v>44804</v>
      </c>
      <c r="E7" s="5" t="s">
        <v>325</v>
      </c>
      <c r="F7" s="5" t="s">
        <v>20</v>
      </c>
      <c r="G7" s="50">
        <v>9.4600000000000009</v>
      </c>
      <c r="H7" s="50">
        <v>0</v>
      </c>
      <c r="I7" s="50">
        <v>0.16</v>
      </c>
      <c r="J7" s="50">
        <v>0.51</v>
      </c>
      <c r="K7" s="50">
        <v>2.9999999999995697E-2</v>
      </c>
    </row>
    <row r="10" spans="1:11" x14ac:dyDescent="0.35">
      <c r="A10" s="3" t="s">
        <v>50</v>
      </c>
    </row>
    <row r="11" spans="1:11" x14ac:dyDescent="0.35">
      <c r="A11" s="4" t="s">
        <v>51</v>
      </c>
      <c r="B11" s="4" t="s">
        <v>52</v>
      </c>
      <c r="C11" s="4" t="s">
        <v>14</v>
      </c>
      <c r="D11" s="4" t="s">
        <v>15</v>
      </c>
      <c r="E11" s="4" t="s">
        <v>491</v>
      </c>
      <c r="F11" s="4" t="s">
        <v>16</v>
      </c>
    </row>
    <row r="12" spans="1:11" x14ac:dyDescent="0.35">
      <c r="A12" t="s">
        <v>56</v>
      </c>
      <c r="B12" s="21">
        <v>3290</v>
      </c>
      <c r="C12" s="5" t="s">
        <v>88</v>
      </c>
      <c r="D12" s="22">
        <v>44865</v>
      </c>
      <c r="E12" s="5" t="s">
        <v>135</v>
      </c>
      <c r="F12" s="5" t="s">
        <v>20</v>
      </c>
    </row>
    <row r="13" spans="1:11" x14ac:dyDescent="0.35">
      <c r="A13" t="s">
        <v>58</v>
      </c>
      <c r="B13" s="23">
        <v>2730</v>
      </c>
      <c r="C13" s="5" t="s">
        <v>90</v>
      </c>
      <c r="D13" s="22">
        <v>43753</v>
      </c>
      <c r="E13" s="24">
        <v>43809</v>
      </c>
      <c r="F13" s="5" t="s">
        <v>20</v>
      </c>
    </row>
    <row r="14" spans="1:11" x14ac:dyDescent="0.35">
      <c r="A14" t="s">
        <v>60</v>
      </c>
      <c r="B14" s="21">
        <v>3242</v>
      </c>
      <c r="C14" s="5" t="s">
        <v>92</v>
      </c>
      <c r="D14" s="25">
        <v>43692</v>
      </c>
      <c r="E14" s="26" t="s">
        <v>492</v>
      </c>
      <c r="F14" s="11" t="s">
        <v>154</v>
      </c>
    </row>
    <row r="15" spans="1:11" x14ac:dyDescent="0.35">
      <c r="A15" t="s">
        <v>62</v>
      </c>
      <c r="B15" s="21">
        <v>3300</v>
      </c>
      <c r="C15" s="5" t="s">
        <v>155</v>
      </c>
      <c r="D15" s="25">
        <v>44561</v>
      </c>
      <c r="E15" s="26" t="s">
        <v>492</v>
      </c>
      <c r="F15" s="11" t="s">
        <v>154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Лист21">
    <tabColor rgb="FFFFFF00"/>
  </sheetPr>
  <dimension ref="A1:J19"/>
  <sheetViews>
    <sheetView workbookViewId="0">
      <selection activeCell="G22" sqref="G22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s="34" t="s">
        <v>138</v>
      </c>
      <c r="B3">
        <v>91.81</v>
      </c>
      <c r="C3" s="5" t="s">
        <v>139</v>
      </c>
      <c r="D3" s="57">
        <v>45107</v>
      </c>
      <c r="E3" s="43" t="s">
        <v>197</v>
      </c>
      <c r="F3" s="50">
        <v>7.13</v>
      </c>
      <c r="G3" s="51">
        <v>0</v>
      </c>
      <c r="H3" s="51">
        <v>0.54</v>
      </c>
      <c r="I3" s="51">
        <v>0.49763033175355448</v>
      </c>
      <c r="J3" s="51">
        <v>2.2369668246443319E-2</v>
      </c>
    </row>
    <row r="4" spans="1:10" x14ac:dyDescent="0.35">
      <c r="A4" s="34">
        <v>10</v>
      </c>
      <c r="B4">
        <v>91.76</v>
      </c>
      <c r="C4" s="5" t="s">
        <v>101</v>
      </c>
      <c r="D4" s="5" t="s">
        <v>326</v>
      </c>
      <c r="E4" s="5" t="s">
        <v>20</v>
      </c>
      <c r="F4" s="50">
        <v>7.41</v>
      </c>
      <c r="G4" s="51">
        <v>0</v>
      </c>
      <c r="H4" s="51">
        <v>0.31</v>
      </c>
      <c r="I4" s="51">
        <v>0.5</v>
      </c>
      <c r="J4" s="51">
        <v>1.9999999999994689E-2</v>
      </c>
    </row>
    <row r="5" spans="1:10" x14ac:dyDescent="0.35">
      <c r="A5" s="34">
        <v>11</v>
      </c>
      <c r="B5">
        <v>91.12</v>
      </c>
      <c r="C5" s="5" t="s">
        <v>104</v>
      </c>
      <c r="D5" s="5" t="s">
        <v>327</v>
      </c>
      <c r="E5" s="5" t="s">
        <v>20</v>
      </c>
      <c r="F5" s="50">
        <v>7.78</v>
      </c>
      <c r="G5" s="51">
        <v>0</v>
      </c>
      <c r="H5" s="51">
        <v>0.56999999999999995</v>
      </c>
      <c r="I5" s="51">
        <v>0.5</v>
      </c>
      <c r="J5" s="51">
        <v>2.9999999999995253E-2</v>
      </c>
    </row>
    <row r="6" spans="1:10" x14ac:dyDescent="0.35">
      <c r="A6" s="34">
        <v>12</v>
      </c>
      <c r="B6">
        <v>92.54</v>
      </c>
      <c r="C6" s="5" t="s">
        <v>106</v>
      </c>
      <c r="D6" s="5" t="s">
        <v>328</v>
      </c>
      <c r="E6" s="5" t="s">
        <v>20</v>
      </c>
      <c r="F6" s="50">
        <v>6.48</v>
      </c>
      <c r="G6" s="51">
        <v>0</v>
      </c>
      <c r="H6" s="51">
        <v>0.47</v>
      </c>
      <c r="I6" s="51">
        <v>0.5</v>
      </c>
      <c r="J6" s="51">
        <v>9.9999999999933475E-3</v>
      </c>
    </row>
    <row r="7" spans="1:10" x14ac:dyDescent="0.35">
      <c r="A7" s="34">
        <v>13</v>
      </c>
      <c r="B7">
        <v>92.38</v>
      </c>
      <c r="C7" s="5" t="s">
        <v>109</v>
      </c>
      <c r="D7" s="5" t="s">
        <v>329</v>
      </c>
      <c r="E7" s="5" t="s">
        <v>20</v>
      </c>
      <c r="F7" s="51">
        <v>5.58</v>
      </c>
      <c r="G7" s="51">
        <v>0</v>
      </c>
      <c r="H7" s="51">
        <v>1.46</v>
      </c>
      <c r="I7" s="51">
        <v>0.52500000000000002</v>
      </c>
      <c r="J7" s="51">
        <v>5.500000000000449E-2</v>
      </c>
    </row>
    <row r="8" spans="1:10" x14ac:dyDescent="0.35">
      <c r="A8" s="34">
        <v>14</v>
      </c>
      <c r="B8">
        <v>91.72</v>
      </c>
      <c r="C8" s="5" t="s">
        <v>112</v>
      </c>
      <c r="D8" s="5" t="s">
        <v>330</v>
      </c>
      <c r="E8" s="5" t="s">
        <v>20</v>
      </c>
      <c r="F8" s="50">
        <v>7.48</v>
      </c>
      <c r="G8" s="51">
        <v>0</v>
      </c>
      <c r="H8" s="51">
        <v>0.26</v>
      </c>
      <c r="I8" s="51">
        <v>0.49900199600798401</v>
      </c>
      <c r="J8" s="51">
        <v>4.0998003992016696E-2</v>
      </c>
    </row>
    <row r="9" spans="1:10" x14ac:dyDescent="0.35">
      <c r="A9" s="34">
        <v>15</v>
      </c>
      <c r="B9">
        <v>91.4</v>
      </c>
      <c r="C9" s="5" t="s">
        <v>115</v>
      </c>
      <c r="D9" s="5" t="s">
        <v>331</v>
      </c>
      <c r="E9" s="5" t="s">
        <v>20</v>
      </c>
      <c r="F9" s="50">
        <v>7.83</v>
      </c>
      <c r="G9" s="51">
        <v>0</v>
      </c>
      <c r="H9" s="51">
        <v>0.25</v>
      </c>
      <c r="I9" s="51">
        <v>0.5</v>
      </c>
      <c r="J9" s="51">
        <v>1.9999999999994245E-2</v>
      </c>
    </row>
    <row r="10" spans="1:10" x14ac:dyDescent="0.35">
      <c r="A10" s="34">
        <v>16</v>
      </c>
      <c r="B10">
        <v>90.91</v>
      </c>
      <c r="C10" s="5" t="s">
        <v>118</v>
      </c>
      <c r="D10" s="5" t="s">
        <v>332</v>
      </c>
      <c r="E10" s="5" t="s">
        <v>20</v>
      </c>
      <c r="F10" s="50">
        <v>8.32</v>
      </c>
      <c r="G10" s="51">
        <v>0</v>
      </c>
      <c r="H10" s="51">
        <v>0.25</v>
      </c>
      <c r="I10" s="51">
        <v>0.5</v>
      </c>
      <c r="J10" s="51">
        <v>2.0000000000003126E-2</v>
      </c>
    </row>
    <row r="13" spans="1:10" x14ac:dyDescent="0.35">
      <c r="A13" s="3" t="s">
        <v>50</v>
      </c>
    </row>
    <row r="14" spans="1:10" x14ac:dyDescent="0.35">
      <c r="A14" s="4" t="s">
        <v>51</v>
      </c>
      <c r="B14" s="4" t="s">
        <v>52</v>
      </c>
      <c r="C14" s="4" t="s">
        <v>14</v>
      </c>
      <c r="D14" s="4" t="s">
        <v>15</v>
      </c>
      <c r="E14" s="4" t="s">
        <v>16</v>
      </c>
    </row>
    <row r="15" spans="1:10" x14ac:dyDescent="0.35">
      <c r="A15" t="s">
        <v>53</v>
      </c>
      <c r="B15">
        <v>989.1</v>
      </c>
      <c r="C15" s="7" t="s">
        <v>471</v>
      </c>
      <c r="D15" s="5" t="s">
        <v>333</v>
      </c>
      <c r="E15" s="7" t="s">
        <v>20</v>
      </c>
    </row>
    <row r="16" spans="1:10" x14ac:dyDescent="0.35">
      <c r="A16" t="s">
        <v>60</v>
      </c>
      <c r="B16">
        <v>1602.7</v>
      </c>
      <c r="C16" s="7" t="s">
        <v>472</v>
      </c>
      <c r="D16" s="5" t="s">
        <v>174</v>
      </c>
      <c r="E16" s="7" t="s">
        <v>20</v>
      </c>
    </row>
    <row r="17" spans="1:5" x14ac:dyDescent="0.35">
      <c r="A17" t="s">
        <v>64</v>
      </c>
      <c r="B17">
        <v>1702.4</v>
      </c>
      <c r="C17" s="7" t="s">
        <v>473</v>
      </c>
      <c r="D17" s="5" t="s">
        <v>334</v>
      </c>
      <c r="E17" s="7" t="s">
        <v>20</v>
      </c>
    </row>
    <row r="18" spans="1:5" x14ac:dyDescent="0.35">
      <c r="A18" t="s">
        <v>66</v>
      </c>
      <c r="B18">
        <v>1710.1</v>
      </c>
      <c r="C18" s="7" t="s">
        <v>474</v>
      </c>
      <c r="D18" s="5" t="s">
        <v>335</v>
      </c>
      <c r="E18" s="7" t="s">
        <v>197</v>
      </c>
    </row>
    <row r="19" spans="1:5" x14ac:dyDescent="0.35">
      <c r="A19" t="s">
        <v>158</v>
      </c>
      <c r="B19">
        <v>1932</v>
      </c>
      <c r="C19" s="7" t="s">
        <v>475</v>
      </c>
      <c r="D19" s="5" t="s">
        <v>336</v>
      </c>
      <c r="E19" s="5" t="s">
        <v>197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Лист22">
    <tabColor rgb="FFFFFF00"/>
  </sheetPr>
  <dimension ref="A1:J35"/>
  <sheetViews>
    <sheetView topLeftCell="A4" workbookViewId="0">
      <selection activeCell="M16" sqref="M16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17</v>
      </c>
      <c r="B3">
        <v>89.91</v>
      </c>
      <c r="C3" s="5" t="s">
        <v>18</v>
      </c>
      <c r="D3" s="5" t="s">
        <v>337</v>
      </c>
      <c r="E3" s="5" t="s">
        <v>197</v>
      </c>
      <c r="F3" s="51">
        <v>9.36</v>
      </c>
      <c r="G3" s="51">
        <v>0</v>
      </c>
      <c r="H3" s="51">
        <v>0.11</v>
      </c>
      <c r="I3" s="51">
        <v>0.54722334819618967</v>
      </c>
      <c r="J3" s="51">
        <v>7.2776651803814318E-2</v>
      </c>
    </row>
    <row r="4" spans="1:10" x14ac:dyDescent="0.35">
      <c r="A4" t="s">
        <v>21</v>
      </c>
      <c r="B4">
        <v>88.47</v>
      </c>
      <c r="C4" s="5" t="s">
        <v>22</v>
      </c>
      <c r="D4" s="5" t="s">
        <v>337</v>
      </c>
      <c r="E4" s="5" t="s">
        <v>197</v>
      </c>
      <c r="F4" s="51">
        <v>9.8800000000000008</v>
      </c>
      <c r="G4" s="51">
        <v>0</v>
      </c>
      <c r="H4" s="51">
        <v>0.26200000000000001</v>
      </c>
      <c r="I4" s="51">
        <v>0.51903114186851207</v>
      </c>
      <c r="J4" s="51">
        <v>0.86896885813148828</v>
      </c>
    </row>
    <row r="5" spans="1:10" x14ac:dyDescent="0.35">
      <c r="A5" t="s">
        <v>24</v>
      </c>
      <c r="B5">
        <v>91.58</v>
      </c>
      <c r="C5" s="5" t="s">
        <v>25</v>
      </c>
      <c r="D5" s="5" t="s">
        <v>338</v>
      </c>
      <c r="E5" s="5" t="s">
        <v>20</v>
      </c>
      <c r="F5" s="51">
        <v>7.73</v>
      </c>
      <c r="G5" s="51">
        <v>0</v>
      </c>
      <c r="H5" s="51">
        <v>0.12</v>
      </c>
      <c r="I5" s="51">
        <v>0.54788961038961037</v>
      </c>
      <c r="J5" s="51">
        <v>2.2110389610390913E-2</v>
      </c>
    </row>
    <row r="6" spans="1:10" x14ac:dyDescent="0.35">
      <c r="A6" t="s">
        <v>27</v>
      </c>
      <c r="B6">
        <v>91.97</v>
      </c>
      <c r="C6" s="5" t="s">
        <v>28</v>
      </c>
      <c r="D6" s="5" t="s">
        <v>338</v>
      </c>
      <c r="E6" s="5" t="s">
        <v>20</v>
      </c>
      <c r="F6" s="51">
        <v>7.34</v>
      </c>
      <c r="G6" s="51">
        <v>0</v>
      </c>
      <c r="H6" s="51">
        <v>0.12</v>
      </c>
      <c r="I6" s="51">
        <v>0.53870710295291302</v>
      </c>
      <c r="J6" s="51">
        <v>3.1292897047088264E-2</v>
      </c>
    </row>
    <row r="7" spans="1:10" x14ac:dyDescent="0.35">
      <c r="A7" t="s">
        <v>33</v>
      </c>
      <c r="B7">
        <v>92.02</v>
      </c>
      <c r="C7" s="5" t="s">
        <v>34</v>
      </c>
      <c r="D7" s="6">
        <v>43664</v>
      </c>
      <c r="E7" s="7" t="s">
        <v>20</v>
      </c>
      <c r="F7" s="50">
        <v>7.62</v>
      </c>
      <c r="G7" s="50">
        <v>0</v>
      </c>
      <c r="H7" s="50">
        <v>0.03</v>
      </c>
      <c r="I7" s="50">
        <v>0.4840000000000062</v>
      </c>
      <c r="J7" s="51">
        <v>1.5999999999999348E-2</v>
      </c>
    </row>
    <row r="8" spans="1:10" x14ac:dyDescent="0.35">
      <c r="A8" t="s">
        <v>35</v>
      </c>
      <c r="B8">
        <v>91.62</v>
      </c>
      <c r="C8" s="5" t="s">
        <v>36</v>
      </c>
      <c r="D8" s="6">
        <v>43664</v>
      </c>
      <c r="E8" s="7" t="s">
        <v>20</v>
      </c>
      <c r="F8" s="50">
        <v>7.68</v>
      </c>
      <c r="G8" s="50">
        <v>0</v>
      </c>
      <c r="H8" s="50">
        <v>0.03</v>
      </c>
      <c r="I8" s="50">
        <v>0.48399999999999466</v>
      </c>
      <c r="J8" s="51">
        <v>1.5999999999999348E-2</v>
      </c>
    </row>
    <row r="9" spans="1:10" x14ac:dyDescent="0.35">
      <c r="A9" t="s">
        <v>37</v>
      </c>
      <c r="B9" s="8">
        <v>89.13</v>
      </c>
      <c r="C9" s="7" t="s">
        <v>339</v>
      </c>
      <c r="D9" s="6">
        <v>44918</v>
      </c>
      <c r="E9" s="7" t="s">
        <v>20</v>
      </c>
      <c r="F9" s="51">
        <v>9.9600000000000009</v>
      </c>
      <c r="G9" s="51">
        <v>0</v>
      </c>
      <c r="H9" s="51">
        <v>0.13</v>
      </c>
      <c r="I9" s="51">
        <v>0.50867743865948534</v>
      </c>
      <c r="J9" s="51">
        <v>0.27132256134051835</v>
      </c>
    </row>
    <row r="10" spans="1:10" x14ac:dyDescent="0.35">
      <c r="A10" t="s">
        <v>39</v>
      </c>
      <c r="B10" s="8">
        <v>91.73</v>
      </c>
      <c r="C10" s="7" t="s">
        <v>340</v>
      </c>
      <c r="D10" s="6">
        <v>44918</v>
      </c>
      <c r="E10" s="7" t="s">
        <v>20</v>
      </c>
      <c r="F10" s="51">
        <v>7.54</v>
      </c>
      <c r="G10" s="51">
        <v>0</v>
      </c>
      <c r="H10" s="51">
        <v>0.17</v>
      </c>
      <c r="I10" s="51">
        <v>0.49332559489262912</v>
      </c>
      <c r="J10" s="51">
        <v>6.667440510736683E-2</v>
      </c>
    </row>
    <row r="11" spans="1:10" x14ac:dyDescent="0.35">
      <c r="A11" t="s">
        <v>41</v>
      </c>
      <c r="B11" s="8">
        <v>91.9</v>
      </c>
      <c r="C11" s="7" t="s">
        <v>42</v>
      </c>
      <c r="D11" s="6">
        <v>45275</v>
      </c>
      <c r="E11" s="7" t="s">
        <v>197</v>
      </c>
      <c r="F11" s="51">
        <v>7.35</v>
      </c>
      <c r="G11" s="51">
        <v>0</v>
      </c>
      <c r="H11" s="51">
        <v>0.1</v>
      </c>
      <c r="I11" s="51">
        <v>0.47906316536550742</v>
      </c>
      <c r="J11" s="51">
        <v>0.17093683463448728</v>
      </c>
    </row>
    <row r="12" spans="1:10" x14ac:dyDescent="0.35">
      <c r="A12" t="s">
        <v>43</v>
      </c>
      <c r="B12" s="8">
        <v>92.03</v>
      </c>
      <c r="C12" s="7" t="s">
        <v>44</v>
      </c>
      <c r="D12" s="6">
        <v>45275</v>
      </c>
      <c r="E12" s="7" t="s">
        <v>197</v>
      </c>
      <c r="F12" s="51">
        <v>7.13</v>
      </c>
      <c r="G12" s="51">
        <v>0</v>
      </c>
      <c r="H12" s="51">
        <v>0.08</v>
      </c>
      <c r="I12" s="51">
        <v>0.5</v>
      </c>
      <c r="J12" s="51">
        <v>0.25999999999999901</v>
      </c>
    </row>
    <row r="13" spans="1:10" x14ac:dyDescent="0.35">
      <c r="A13" t="s">
        <v>45</v>
      </c>
      <c r="B13">
        <v>91.98</v>
      </c>
      <c r="C13" s="5" t="s">
        <v>341</v>
      </c>
      <c r="D13" s="6">
        <v>46017</v>
      </c>
      <c r="E13" s="7" t="s">
        <v>20</v>
      </c>
      <c r="F13" s="50">
        <v>7.75</v>
      </c>
      <c r="G13" s="50">
        <v>0</v>
      </c>
      <c r="H13" s="50">
        <v>3.3000000000000002E-2</v>
      </c>
      <c r="I13" s="50">
        <v>0.54</v>
      </c>
      <c r="J13" s="51">
        <v>6.7000000000000504E-2</v>
      </c>
    </row>
    <row r="14" spans="1:10" x14ac:dyDescent="0.35">
      <c r="A14" t="s">
        <v>48</v>
      </c>
      <c r="B14">
        <v>91.77</v>
      </c>
      <c r="C14" s="5" t="s">
        <v>342</v>
      </c>
      <c r="D14" s="6">
        <v>46017</v>
      </c>
      <c r="E14" s="7" t="s">
        <v>20</v>
      </c>
      <c r="F14" s="50">
        <v>7.75</v>
      </c>
      <c r="G14" s="50">
        <v>0</v>
      </c>
      <c r="H14" s="50">
        <v>3.3000000000000002E-2</v>
      </c>
      <c r="I14" s="50">
        <v>0.55000000000000004</v>
      </c>
      <c r="J14" s="51">
        <v>5.7000000000000495E-2</v>
      </c>
    </row>
    <row r="15" spans="1:10" x14ac:dyDescent="0.35">
      <c r="A15" t="s">
        <v>345</v>
      </c>
      <c r="B15" s="8">
        <v>91.88</v>
      </c>
      <c r="C15" s="7" t="s">
        <v>343</v>
      </c>
      <c r="D15" s="6">
        <v>44554</v>
      </c>
      <c r="E15" s="7" t="s">
        <v>20</v>
      </c>
      <c r="F15" s="51">
        <v>7.39</v>
      </c>
      <c r="G15" s="51">
        <v>0</v>
      </c>
      <c r="H15" s="51">
        <v>0.13</v>
      </c>
      <c r="I15" s="51">
        <v>0.52899686520376177</v>
      </c>
      <c r="J15" s="51">
        <v>7.1003134796243095E-2</v>
      </c>
    </row>
    <row r="16" spans="1:10" x14ac:dyDescent="0.35">
      <c r="A16" t="s">
        <v>347</v>
      </c>
      <c r="B16" s="8">
        <v>91.87</v>
      </c>
      <c r="C16" s="7" t="s">
        <v>344</v>
      </c>
      <c r="D16" s="6">
        <v>44554</v>
      </c>
      <c r="E16" s="7" t="s">
        <v>20</v>
      </c>
      <c r="F16" s="51">
        <v>7.48</v>
      </c>
      <c r="G16" s="51">
        <v>0</v>
      </c>
      <c r="H16" s="51">
        <v>7.4000000000000003E-3</v>
      </c>
      <c r="I16" s="51">
        <v>0.52083333333333337</v>
      </c>
      <c r="J16" s="51">
        <v>0.12176666666666169</v>
      </c>
    </row>
    <row r="17" spans="1:10" x14ac:dyDescent="0.35">
      <c r="A17" t="s">
        <v>349</v>
      </c>
      <c r="B17">
        <v>91.84</v>
      </c>
      <c r="C17" s="5" t="s">
        <v>346</v>
      </c>
      <c r="D17" s="6">
        <v>44137</v>
      </c>
      <c r="E17" s="7" t="s">
        <v>20</v>
      </c>
      <c r="F17" s="50">
        <v>8</v>
      </c>
      <c r="G17" s="50">
        <v>0</v>
      </c>
      <c r="H17" s="50">
        <v>0.02</v>
      </c>
      <c r="I17" s="50">
        <v>0.41600000000000392</v>
      </c>
      <c r="J17" s="51">
        <v>1.3999999999998902E-2</v>
      </c>
    </row>
    <row r="18" spans="1:10" x14ac:dyDescent="0.35">
      <c r="A18" t="s">
        <v>352</v>
      </c>
      <c r="B18">
        <v>91.29</v>
      </c>
      <c r="C18" s="5" t="s">
        <v>348</v>
      </c>
      <c r="D18" s="6">
        <v>44137</v>
      </c>
      <c r="E18" s="7" t="s">
        <v>20</v>
      </c>
      <c r="F18" s="50">
        <v>8</v>
      </c>
      <c r="G18" s="50">
        <v>0</v>
      </c>
      <c r="H18" s="50">
        <v>0.02</v>
      </c>
      <c r="I18" s="50">
        <v>0.41600000000000392</v>
      </c>
      <c r="J18" s="51">
        <v>1.3999999999998902E-2</v>
      </c>
    </row>
    <row r="19" spans="1:10" x14ac:dyDescent="0.35">
      <c r="A19" t="s">
        <v>219</v>
      </c>
      <c r="B19">
        <v>90.19</v>
      </c>
      <c r="C19" s="5" t="s">
        <v>350</v>
      </c>
      <c r="D19" s="5" t="s">
        <v>351</v>
      </c>
      <c r="E19" s="5" t="s">
        <v>20</v>
      </c>
      <c r="F19" s="51">
        <v>9.01</v>
      </c>
      <c r="G19" s="51">
        <v>0</v>
      </c>
      <c r="H19" s="51">
        <v>0.05</v>
      </c>
      <c r="I19" s="51">
        <v>0.68403908794788271</v>
      </c>
      <c r="J19" s="51">
        <v>6.5960912052119736E-2</v>
      </c>
    </row>
    <row r="20" spans="1:10" x14ac:dyDescent="0.35">
      <c r="A20" t="s">
        <v>220</v>
      </c>
      <c r="B20">
        <v>90.59</v>
      </c>
      <c r="C20" s="5" t="s">
        <v>353</v>
      </c>
      <c r="D20" s="5" t="s">
        <v>351</v>
      </c>
      <c r="E20" s="5" t="s">
        <v>20</v>
      </c>
      <c r="F20" s="51">
        <v>8.34</v>
      </c>
      <c r="G20" s="51">
        <v>0</v>
      </c>
      <c r="H20" s="51">
        <v>0.43</v>
      </c>
      <c r="I20" s="51">
        <v>0.61046511627906974</v>
      </c>
      <c r="J20" s="51">
        <v>2.9534883720927052E-2</v>
      </c>
    </row>
    <row r="21" spans="1:10" x14ac:dyDescent="0.35">
      <c r="C21" s="5"/>
      <c r="D21" s="5"/>
      <c r="E21" s="5"/>
    </row>
    <row r="22" spans="1:10" x14ac:dyDescent="0.35">
      <c r="C22" s="5"/>
      <c r="D22" s="5"/>
      <c r="E22" s="5"/>
    </row>
    <row r="25" spans="1:10" x14ac:dyDescent="0.35">
      <c r="A25" s="3" t="s">
        <v>50</v>
      </c>
    </row>
    <row r="26" spans="1:10" x14ac:dyDescent="0.35">
      <c r="A26" s="4" t="s">
        <v>51</v>
      </c>
      <c r="B26" s="4" t="s">
        <v>52</v>
      </c>
      <c r="C26" s="4" t="s">
        <v>14</v>
      </c>
      <c r="D26" s="4" t="s">
        <v>15</v>
      </c>
      <c r="E26" s="4" t="s">
        <v>16</v>
      </c>
    </row>
    <row r="27" spans="1:10" x14ac:dyDescent="0.35">
      <c r="A27" t="s">
        <v>53</v>
      </c>
      <c r="B27" s="38">
        <v>2432.8379710192021</v>
      </c>
      <c r="C27" s="5" t="s">
        <v>484</v>
      </c>
      <c r="D27" s="5" t="s">
        <v>354</v>
      </c>
      <c r="E27" s="5" t="s">
        <v>197</v>
      </c>
    </row>
    <row r="28" spans="1:10" x14ac:dyDescent="0.35">
      <c r="A28" t="s">
        <v>56</v>
      </c>
      <c r="B28" s="38">
        <v>2357.2376078523012</v>
      </c>
      <c r="C28" s="5" t="s">
        <v>485</v>
      </c>
      <c r="D28" s="5" t="s">
        <v>355</v>
      </c>
      <c r="E28" s="5" t="s">
        <v>20</v>
      </c>
    </row>
    <row r="29" spans="1:10" x14ac:dyDescent="0.35">
      <c r="A29" t="s">
        <v>60</v>
      </c>
      <c r="B29" s="38">
        <v>2281.9945505344958</v>
      </c>
      <c r="C29" s="5" t="s">
        <v>486</v>
      </c>
      <c r="D29" s="6">
        <v>43664</v>
      </c>
      <c r="E29" s="7" t="s">
        <v>20</v>
      </c>
    </row>
    <row r="30" spans="1:10" x14ac:dyDescent="0.35">
      <c r="A30" t="s">
        <v>62</v>
      </c>
      <c r="B30" s="39">
        <v>1833.3</v>
      </c>
      <c r="C30" s="7" t="s">
        <v>356</v>
      </c>
      <c r="D30" s="6">
        <v>44916</v>
      </c>
      <c r="E30" s="7" t="s">
        <v>20</v>
      </c>
    </row>
    <row r="31" spans="1:10" x14ac:dyDescent="0.35">
      <c r="A31" t="s">
        <v>64</v>
      </c>
      <c r="B31" s="39">
        <v>2287.5940550457017</v>
      </c>
      <c r="C31" s="7" t="s">
        <v>357</v>
      </c>
      <c r="D31" s="6">
        <v>45264</v>
      </c>
      <c r="E31" s="7" t="s">
        <v>197</v>
      </c>
    </row>
    <row r="32" spans="1:10" x14ac:dyDescent="0.35">
      <c r="A32" t="s">
        <v>66</v>
      </c>
      <c r="B32" s="38">
        <v>2199.8065616866434</v>
      </c>
      <c r="C32" s="5" t="s">
        <v>487</v>
      </c>
      <c r="D32" s="6">
        <v>46017</v>
      </c>
      <c r="E32" s="7" t="s">
        <v>20</v>
      </c>
    </row>
    <row r="33" spans="1:5" x14ac:dyDescent="0.35">
      <c r="A33" t="s">
        <v>158</v>
      </c>
      <c r="B33" s="39">
        <v>2340.4847535527688</v>
      </c>
      <c r="C33" s="7" t="s">
        <v>488</v>
      </c>
      <c r="D33" s="6">
        <v>44554</v>
      </c>
      <c r="E33" s="7" t="s">
        <v>20</v>
      </c>
    </row>
    <row r="34" spans="1:5" x14ac:dyDescent="0.35">
      <c r="A34" t="s">
        <v>122</v>
      </c>
      <c r="B34" s="38">
        <v>2416.9</v>
      </c>
      <c r="C34" s="5" t="s">
        <v>489</v>
      </c>
      <c r="D34" s="6">
        <v>44137</v>
      </c>
      <c r="E34" s="7" t="s">
        <v>20</v>
      </c>
    </row>
    <row r="35" spans="1:5" x14ac:dyDescent="0.35">
      <c r="A35" t="s">
        <v>100</v>
      </c>
      <c r="B35" s="38">
        <v>1604.9</v>
      </c>
      <c r="C35" s="5" t="s">
        <v>490</v>
      </c>
      <c r="D35" s="5" t="s">
        <v>199</v>
      </c>
      <c r="E35" s="5" t="s">
        <v>20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Лист23">
    <tabColor theme="9" tint="0.79998168889431442"/>
  </sheetPr>
  <dimension ref="A1:J32"/>
  <sheetViews>
    <sheetView workbookViewId="0">
      <selection activeCell="L28" sqref="L28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54">
        <v>7.29</v>
      </c>
      <c r="G2" s="54">
        <v>0</v>
      </c>
      <c r="H2" s="54">
        <v>2.06</v>
      </c>
      <c r="I2" s="54">
        <v>0.3</v>
      </c>
      <c r="J2" s="51">
        <v>6.9999999999998785E-2</v>
      </c>
    </row>
    <row r="3" spans="1:10" x14ac:dyDescent="0.35">
      <c r="A3" t="s">
        <v>17</v>
      </c>
      <c r="B3">
        <v>90.28</v>
      </c>
      <c r="C3" s="5" t="s">
        <v>358</v>
      </c>
      <c r="D3" s="5" t="s">
        <v>359</v>
      </c>
      <c r="E3" s="5" t="s">
        <v>20</v>
      </c>
      <c r="F3" s="54">
        <v>7.64</v>
      </c>
      <c r="G3" s="54">
        <v>0</v>
      </c>
      <c r="H3" s="54">
        <v>2.06</v>
      </c>
      <c r="I3" s="54">
        <v>0.3</v>
      </c>
      <c r="J3" s="51">
        <v>9.9999999999994593E-2</v>
      </c>
    </row>
    <row r="4" spans="1:10" x14ac:dyDescent="0.35">
      <c r="A4" t="s">
        <v>21</v>
      </c>
      <c r="B4">
        <v>89.9</v>
      </c>
      <c r="C4" s="5" t="s">
        <v>360</v>
      </c>
      <c r="D4" s="5" t="s">
        <v>359</v>
      </c>
      <c r="E4" s="5" t="s">
        <v>20</v>
      </c>
      <c r="F4" s="51">
        <v>7.5750000000000002</v>
      </c>
      <c r="G4" s="51">
        <v>0</v>
      </c>
      <c r="H4" s="51">
        <v>2.1579999999999999</v>
      </c>
      <c r="I4" s="51">
        <v>0.36</v>
      </c>
      <c r="J4" s="51">
        <v>0.10700000000000276</v>
      </c>
    </row>
    <row r="5" spans="1:10" x14ac:dyDescent="0.35">
      <c r="A5" t="s">
        <v>24</v>
      </c>
      <c r="B5">
        <v>89.8</v>
      </c>
      <c r="C5" s="5" t="s">
        <v>361</v>
      </c>
      <c r="D5" s="5" t="s">
        <v>362</v>
      </c>
      <c r="E5" s="5" t="s">
        <v>20</v>
      </c>
      <c r="F5" s="51">
        <v>7.915</v>
      </c>
      <c r="G5" s="51">
        <v>0</v>
      </c>
      <c r="H5" s="51">
        <v>2.722</v>
      </c>
      <c r="I5" s="51">
        <v>0.36</v>
      </c>
      <c r="J5" s="51">
        <v>0.10299999999999432</v>
      </c>
    </row>
    <row r="6" spans="1:10" x14ac:dyDescent="0.35">
      <c r="A6" t="s">
        <v>27</v>
      </c>
      <c r="B6">
        <v>88.9</v>
      </c>
      <c r="C6" s="5" t="s">
        <v>363</v>
      </c>
      <c r="D6" s="5" t="s">
        <v>362</v>
      </c>
      <c r="E6" s="5" t="s">
        <v>20</v>
      </c>
      <c r="F6" s="51">
        <v>7.41</v>
      </c>
      <c r="G6" s="51">
        <v>0</v>
      </c>
      <c r="H6" s="51">
        <v>2.11</v>
      </c>
      <c r="I6" s="51">
        <v>0.3</v>
      </c>
      <c r="J6" s="51">
        <v>0.11000000000000681</v>
      </c>
    </row>
    <row r="7" spans="1:10" x14ac:dyDescent="0.35">
      <c r="A7" t="s">
        <v>29</v>
      </c>
      <c r="B7">
        <v>90.07</v>
      </c>
      <c r="C7" s="5" t="s">
        <v>364</v>
      </c>
      <c r="D7" s="5" t="s">
        <v>365</v>
      </c>
      <c r="E7" s="5" t="s">
        <v>366</v>
      </c>
      <c r="F7" s="51">
        <v>8.09</v>
      </c>
      <c r="G7" s="51">
        <v>0</v>
      </c>
      <c r="H7" s="51">
        <v>2.11</v>
      </c>
      <c r="I7" s="51">
        <v>0.3</v>
      </c>
      <c r="J7" s="51">
        <v>0.12999999999999573</v>
      </c>
    </row>
    <row r="8" spans="1:10" x14ac:dyDescent="0.35">
      <c r="A8" t="s">
        <v>31</v>
      </c>
      <c r="B8">
        <v>89.37</v>
      </c>
      <c r="C8" s="5" t="s">
        <v>367</v>
      </c>
      <c r="D8" s="5" t="s">
        <v>365</v>
      </c>
      <c r="E8" s="5" t="s">
        <v>366</v>
      </c>
      <c r="F8" s="54">
        <v>7.41</v>
      </c>
      <c r="G8" s="54">
        <v>0</v>
      </c>
      <c r="H8" s="54">
        <v>1.87</v>
      </c>
      <c r="I8" s="54">
        <v>0.3</v>
      </c>
      <c r="J8" s="51">
        <v>0.48999999999999294</v>
      </c>
    </row>
    <row r="9" spans="1:10" x14ac:dyDescent="0.35">
      <c r="A9" t="s">
        <v>33</v>
      </c>
      <c r="B9">
        <v>89.93</v>
      </c>
      <c r="C9" s="5" t="s">
        <v>368</v>
      </c>
      <c r="D9" s="5" t="s">
        <v>102</v>
      </c>
      <c r="E9" s="5" t="s">
        <v>366</v>
      </c>
      <c r="F9" s="54">
        <v>7.75</v>
      </c>
      <c r="G9" s="54">
        <v>0</v>
      </c>
      <c r="H9" s="54">
        <v>1.87</v>
      </c>
      <c r="I9" s="54">
        <v>0.3</v>
      </c>
      <c r="J9" s="51">
        <v>0.1599999999999982</v>
      </c>
    </row>
    <row r="10" spans="1:10" x14ac:dyDescent="0.35">
      <c r="A10" t="s">
        <v>35</v>
      </c>
      <c r="B10">
        <v>89.92</v>
      </c>
      <c r="C10" s="5" t="s">
        <v>369</v>
      </c>
      <c r="D10" s="5" t="s">
        <v>102</v>
      </c>
      <c r="E10" s="5" t="s">
        <v>366</v>
      </c>
      <c r="F10" s="51">
        <v>7.49</v>
      </c>
      <c r="G10" s="51">
        <v>0</v>
      </c>
      <c r="H10" s="51">
        <v>1.96</v>
      </c>
      <c r="I10" s="51">
        <v>0.3</v>
      </c>
      <c r="J10" s="51">
        <v>0.32999999999999813</v>
      </c>
    </row>
    <row r="11" spans="1:10" x14ac:dyDescent="0.35">
      <c r="A11" t="s">
        <v>37</v>
      </c>
      <c r="B11">
        <v>89.92</v>
      </c>
      <c r="C11" s="5" t="s">
        <v>370</v>
      </c>
      <c r="D11" s="5" t="s">
        <v>302</v>
      </c>
      <c r="E11" s="5" t="s">
        <v>366</v>
      </c>
      <c r="F11" s="51">
        <v>7.21</v>
      </c>
      <c r="G11" s="51">
        <v>0</v>
      </c>
      <c r="H11" s="51">
        <v>1.96</v>
      </c>
      <c r="I11" s="51">
        <v>0.3</v>
      </c>
      <c r="J11" s="51">
        <v>0.51000000000000401</v>
      </c>
    </row>
    <row r="12" spans="1:10" x14ac:dyDescent="0.35">
      <c r="A12" t="s">
        <v>39</v>
      </c>
      <c r="B12">
        <v>90.02</v>
      </c>
      <c r="C12" s="5" t="s">
        <v>371</v>
      </c>
      <c r="D12" s="5" t="s">
        <v>302</v>
      </c>
      <c r="E12" s="5" t="s">
        <v>366</v>
      </c>
      <c r="F12" s="51">
        <v>9.51</v>
      </c>
      <c r="G12" s="51">
        <v>0</v>
      </c>
      <c r="H12" s="51">
        <v>1.53</v>
      </c>
      <c r="I12" s="51">
        <v>0.3</v>
      </c>
      <c r="J12" s="51">
        <v>0.37999999999999906</v>
      </c>
    </row>
    <row r="13" spans="1:10" x14ac:dyDescent="0.35">
      <c r="A13" t="s">
        <v>41</v>
      </c>
      <c r="B13">
        <v>88.28</v>
      </c>
      <c r="C13" s="5" t="s">
        <v>372</v>
      </c>
      <c r="D13" s="5" t="s">
        <v>373</v>
      </c>
      <c r="E13" s="5" t="s">
        <v>20</v>
      </c>
      <c r="F13" s="51">
        <v>9.3000000000000007</v>
      </c>
      <c r="G13" s="51">
        <v>0</v>
      </c>
      <c r="H13" s="51">
        <v>1.53</v>
      </c>
      <c r="I13" s="51">
        <v>0.3</v>
      </c>
      <c r="J13" s="51">
        <v>0.32999999999999302</v>
      </c>
    </row>
    <row r="14" spans="1:10" x14ac:dyDescent="0.35">
      <c r="A14" t="s">
        <v>43</v>
      </c>
      <c r="B14">
        <v>88.54</v>
      </c>
      <c r="C14" s="5" t="s">
        <v>374</v>
      </c>
      <c r="D14" s="5" t="s">
        <v>373</v>
      </c>
      <c r="E14" s="5" t="s">
        <v>20</v>
      </c>
      <c r="F14" s="51">
        <v>8.17</v>
      </c>
      <c r="G14" s="51">
        <v>0</v>
      </c>
      <c r="H14" s="51">
        <v>0.9</v>
      </c>
      <c r="I14" s="51">
        <v>0.2</v>
      </c>
      <c r="J14" s="51">
        <v>5.9999999999998332E-2</v>
      </c>
    </row>
    <row r="15" spans="1:10" x14ac:dyDescent="0.35">
      <c r="A15" t="s">
        <v>138</v>
      </c>
      <c r="B15">
        <v>90.67</v>
      </c>
      <c r="C15" s="5" t="s">
        <v>375</v>
      </c>
      <c r="D15" s="5" t="s">
        <v>376</v>
      </c>
      <c r="E15" s="5" t="s">
        <v>366</v>
      </c>
      <c r="F15" s="54">
        <v>8.8800000000000008</v>
      </c>
      <c r="G15" s="54">
        <v>0</v>
      </c>
      <c r="H15" s="54">
        <v>0.81</v>
      </c>
      <c r="I15" s="54">
        <v>0.09</v>
      </c>
      <c r="J15" s="51">
        <v>0.15999999999999689</v>
      </c>
    </row>
    <row r="16" spans="1:10" x14ac:dyDescent="0.35">
      <c r="A16" t="s">
        <v>94</v>
      </c>
      <c r="B16">
        <v>90.06</v>
      </c>
      <c r="C16" s="5" t="s">
        <v>377</v>
      </c>
      <c r="D16" s="5" t="s">
        <v>378</v>
      </c>
      <c r="E16" s="5" t="s">
        <v>366</v>
      </c>
      <c r="F16" s="54">
        <v>8.1999999999999993</v>
      </c>
      <c r="G16" s="54">
        <v>0</v>
      </c>
      <c r="H16" s="54">
        <v>0.92</v>
      </c>
      <c r="I16" s="54">
        <v>0.2</v>
      </c>
      <c r="J16" s="51">
        <v>7.0000000000001228E-2</v>
      </c>
    </row>
    <row r="17" spans="1:10" x14ac:dyDescent="0.35">
      <c r="A17" t="s">
        <v>97</v>
      </c>
      <c r="B17">
        <v>90.61</v>
      </c>
      <c r="C17" s="5" t="s">
        <v>379</v>
      </c>
      <c r="D17" s="5" t="s">
        <v>380</v>
      </c>
      <c r="E17" s="5" t="s">
        <v>20</v>
      </c>
      <c r="F17" s="51">
        <v>7.7430000000000003</v>
      </c>
      <c r="G17" s="51">
        <v>0</v>
      </c>
      <c r="H17" s="51">
        <v>0.88</v>
      </c>
      <c r="I17" s="51">
        <v>0.3</v>
      </c>
      <c r="J17" s="51">
        <v>6.6999999999994564E-2</v>
      </c>
    </row>
    <row r="18" spans="1:10" x14ac:dyDescent="0.35">
      <c r="A18" t="s">
        <v>100</v>
      </c>
      <c r="B18">
        <v>91.01</v>
      </c>
      <c r="C18" s="5" t="s">
        <v>381</v>
      </c>
      <c r="D18" s="20">
        <v>46013</v>
      </c>
      <c r="E18" s="5" t="s">
        <v>197</v>
      </c>
    </row>
    <row r="21" spans="1:10" x14ac:dyDescent="0.35">
      <c r="A21" s="3" t="s">
        <v>50</v>
      </c>
    </row>
    <row r="22" spans="1:10" x14ac:dyDescent="0.35">
      <c r="A22" s="4" t="s">
        <v>51</v>
      </c>
      <c r="B22" s="4" t="s">
        <v>52</v>
      </c>
      <c r="C22" s="4" t="s">
        <v>14</v>
      </c>
      <c r="D22" s="4" t="s">
        <v>15</v>
      </c>
      <c r="E22" s="4" t="s">
        <v>16</v>
      </c>
    </row>
    <row r="23" spans="1:10" x14ac:dyDescent="0.35">
      <c r="A23" t="s">
        <v>53</v>
      </c>
      <c r="B23" s="35">
        <v>1937.8</v>
      </c>
      <c r="C23" s="5" t="s">
        <v>86</v>
      </c>
      <c r="D23" s="5" t="s">
        <v>382</v>
      </c>
      <c r="E23" s="5" t="s">
        <v>20</v>
      </c>
    </row>
    <row r="24" spans="1:10" x14ac:dyDescent="0.35">
      <c r="A24" t="s">
        <v>56</v>
      </c>
      <c r="B24" s="35">
        <v>1992.2</v>
      </c>
      <c r="C24" s="5" t="s">
        <v>88</v>
      </c>
      <c r="D24" s="5" t="s">
        <v>383</v>
      </c>
      <c r="E24" s="5" t="s">
        <v>20</v>
      </c>
    </row>
    <row r="25" spans="1:10" x14ac:dyDescent="0.35">
      <c r="A25" t="s">
        <v>58</v>
      </c>
      <c r="B25" s="35">
        <v>1966.9</v>
      </c>
      <c r="C25" s="5" t="s">
        <v>90</v>
      </c>
      <c r="D25" s="5" t="s">
        <v>384</v>
      </c>
      <c r="E25" s="5" t="s">
        <v>20</v>
      </c>
    </row>
    <row r="26" spans="1:10" x14ac:dyDescent="0.35">
      <c r="A26" t="s">
        <v>60</v>
      </c>
      <c r="B26" s="35">
        <v>1971.8</v>
      </c>
      <c r="C26" s="5" t="s">
        <v>92</v>
      </c>
      <c r="D26" s="5" t="s">
        <v>385</v>
      </c>
      <c r="E26" s="5" t="s">
        <v>197</v>
      </c>
    </row>
    <row r="27" spans="1:10" x14ac:dyDescent="0.35">
      <c r="A27" t="s">
        <v>62</v>
      </c>
      <c r="B27" s="35">
        <v>1847</v>
      </c>
      <c r="C27" s="5" t="s">
        <v>155</v>
      </c>
      <c r="D27" s="5" t="s">
        <v>386</v>
      </c>
      <c r="E27" s="5" t="s">
        <v>171</v>
      </c>
    </row>
    <row r="28" spans="1:10" x14ac:dyDescent="0.35">
      <c r="A28" t="s">
        <v>64</v>
      </c>
      <c r="B28" s="35">
        <v>1949.3</v>
      </c>
      <c r="C28" s="5" t="s">
        <v>156</v>
      </c>
      <c r="D28" s="5" t="s">
        <v>387</v>
      </c>
      <c r="E28" s="5" t="s">
        <v>20</v>
      </c>
    </row>
    <row r="29" spans="1:10" x14ac:dyDescent="0.35">
      <c r="A29" t="s">
        <v>66</v>
      </c>
      <c r="B29" s="35">
        <v>1962.1</v>
      </c>
      <c r="C29" s="5" t="s">
        <v>120</v>
      </c>
      <c r="D29" s="5" t="s">
        <v>388</v>
      </c>
      <c r="E29" s="5" t="s">
        <v>197</v>
      </c>
    </row>
    <row r="30" spans="1:10" x14ac:dyDescent="0.35">
      <c r="A30" t="s">
        <v>158</v>
      </c>
      <c r="B30" s="35">
        <v>1944.9</v>
      </c>
      <c r="C30" s="5" t="s">
        <v>159</v>
      </c>
      <c r="D30" s="5" t="s">
        <v>389</v>
      </c>
      <c r="E30" s="5" t="s">
        <v>171</v>
      </c>
    </row>
    <row r="31" spans="1:10" x14ac:dyDescent="0.35">
      <c r="A31" t="s">
        <v>122</v>
      </c>
      <c r="B31" s="35">
        <v>1932.2</v>
      </c>
      <c r="C31" s="5" t="s">
        <v>123</v>
      </c>
      <c r="D31" s="5" t="s">
        <v>390</v>
      </c>
      <c r="E31" s="5" t="s">
        <v>20</v>
      </c>
    </row>
    <row r="32" spans="1:10" x14ac:dyDescent="0.35">
      <c r="A32" t="s">
        <v>100</v>
      </c>
      <c r="B32" s="35">
        <v>1859.4</v>
      </c>
      <c r="C32" s="5" t="s">
        <v>161</v>
      </c>
      <c r="D32" s="5" t="s">
        <v>386</v>
      </c>
      <c r="E32" s="5" t="s">
        <v>171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Лист24">
    <tabColor theme="9" tint="0.79998168889431442"/>
  </sheetPr>
  <dimension ref="A1:J29"/>
  <sheetViews>
    <sheetView workbookViewId="0">
      <selection activeCell="E21" sqref="E21"/>
    </sheetView>
  </sheetViews>
  <sheetFormatPr defaultRowHeight="14.5" x14ac:dyDescent="0.35"/>
  <cols>
    <col min="1" max="1" width="12" customWidth="1"/>
    <col min="2" max="2" width="22" customWidth="1"/>
    <col min="3" max="3" width="30" customWidth="1"/>
    <col min="4" max="4" width="18" customWidth="1"/>
    <col min="5" max="5" width="28" customWidth="1"/>
  </cols>
  <sheetData>
    <row r="1" spans="1:10" x14ac:dyDescent="0.35">
      <c r="A1" s="3" t="s">
        <v>11</v>
      </c>
    </row>
    <row r="2" spans="1:10" x14ac:dyDescent="0.35">
      <c r="A2" s="4" t="s">
        <v>12</v>
      </c>
      <c r="B2" s="4" t="s">
        <v>13</v>
      </c>
      <c r="C2" s="4" t="s">
        <v>14</v>
      </c>
      <c r="D2" s="4" t="s">
        <v>15</v>
      </c>
      <c r="E2" s="4" t="s">
        <v>16</v>
      </c>
      <c r="F2" s="44" t="s">
        <v>508</v>
      </c>
      <c r="G2" s="44" t="s">
        <v>509</v>
      </c>
      <c r="H2" s="44" t="s">
        <v>510</v>
      </c>
      <c r="I2" s="44" t="s">
        <v>511</v>
      </c>
      <c r="J2" s="44" t="s">
        <v>512</v>
      </c>
    </row>
    <row r="3" spans="1:10" x14ac:dyDescent="0.35">
      <c r="A3" t="s">
        <v>17</v>
      </c>
      <c r="B3" s="8">
        <v>84.35</v>
      </c>
      <c r="C3" s="5" t="s">
        <v>391</v>
      </c>
      <c r="D3" s="6">
        <v>44998</v>
      </c>
      <c r="E3" s="5" t="s">
        <v>197</v>
      </c>
      <c r="F3" s="58">
        <v>11.4</v>
      </c>
      <c r="G3" s="58">
        <v>0.05</v>
      </c>
      <c r="H3" s="58">
        <v>3.62</v>
      </c>
      <c r="I3" s="58">
        <v>0.5</v>
      </c>
      <c r="J3" s="51">
        <v>8.00000000000054E-2</v>
      </c>
    </row>
    <row r="4" spans="1:10" x14ac:dyDescent="0.35">
      <c r="A4" t="s">
        <v>21</v>
      </c>
      <c r="B4" s="8">
        <v>83.62</v>
      </c>
      <c r="C4" s="5" t="s">
        <v>392</v>
      </c>
      <c r="D4" s="6">
        <v>44996</v>
      </c>
      <c r="E4" s="5" t="s">
        <v>197</v>
      </c>
      <c r="F4" s="58">
        <v>12</v>
      </c>
      <c r="G4" s="58">
        <v>0.1</v>
      </c>
      <c r="H4" s="58">
        <v>3.7</v>
      </c>
      <c r="I4" s="58">
        <v>0.5</v>
      </c>
      <c r="J4" s="51">
        <v>7.999999999999563E-2</v>
      </c>
    </row>
    <row r="5" spans="1:10" x14ac:dyDescent="0.35">
      <c r="A5" t="s">
        <v>24</v>
      </c>
      <c r="B5" s="8">
        <v>83.25</v>
      </c>
      <c r="C5" s="5" t="s">
        <v>393</v>
      </c>
      <c r="D5" s="6">
        <v>45863</v>
      </c>
      <c r="E5" s="5" t="s">
        <v>20</v>
      </c>
      <c r="F5" s="58">
        <v>12.64</v>
      </c>
      <c r="G5" s="58">
        <v>0.12</v>
      </c>
      <c r="H5" s="58">
        <v>3.34</v>
      </c>
      <c r="I5" s="58">
        <v>0.59</v>
      </c>
      <c r="J5" s="51">
        <v>5.9999999999999498E-2</v>
      </c>
    </row>
    <row r="6" spans="1:10" x14ac:dyDescent="0.35">
      <c r="A6" t="s">
        <v>27</v>
      </c>
      <c r="B6" s="8">
        <v>85.36</v>
      </c>
      <c r="C6" s="5" t="s">
        <v>394</v>
      </c>
      <c r="D6" s="6">
        <v>45863</v>
      </c>
      <c r="E6" s="5" t="s">
        <v>20</v>
      </c>
      <c r="F6" s="58">
        <v>13.83</v>
      </c>
      <c r="G6" s="58">
        <v>0.14000000000000001</v>
      </c>
      <c r="H6" s="58">
        <v>0.05</v>
      </c>
      <c r="I6" s="58">
        <v>0.55000000000000004</v>
      </c>
      <c r="J6" s="51">
        <v>7.0000000000000395E-2</v>
      </c>
    </row>
    <row r="7" spans="1:10" x14ac:dyDescent="0.35">
      <c r="A7" t="s">
        <v>29</v>
      </c>
      <c r="B7" s="8">
        <v>81.3</v>
      </c>
      <c r="C7" s="5" t="s">
        <v>395</v>
      </c>
      <c r="D7" s="6">
        <v>46033</v>
      </c>
      <c r="E7" s="5" t="s">
        <v>20</v>
      </c>
      <c r="F7" s="58">
        <v>9.8000000000000007</v>
      </c>
      <c r="G7" s="58">
        <v>0.04</v>
      </c>
      <c r="H7" s="58">
        <v>7.89</v>
      </c>
      <c r="I7" s="58">
        <v>0.91</v>
      </c>
      <c r="J7" s="51">
        <v>6.0000000000003273E-2</v>
      </c>
    </row>
    <row r="8" spans="1:10" x14ac:dyDescent="0.35">
      <c r="A8" t="s">
        <v>31</v>
      </c>
      <c r="B8" s="8">
        <v>79.849999999999994</v>
      </c>
      <c r="C8" s="5" t="s">
        <v>396</v>
      </c>
      <c r="D8" s="6">
        <v>46033</v>
      </c>
      <c r="E8" s="5" t="s">
        <v>20</v>
      </c>
      <c r="F8" s="58">
        <v>8.67</v>
      </c>
      <c r="G8" s="58">
        <v>0.02</v>
      </c>
      <c r="H8" s="58">
        <v>10.51</v>
      </c>
      <c r="I8" s="58">
        <v>0.9</v>
      </c>
      <c r="J8" s="51">
        <v>5.0000000000006373E-2</v>
      </c>
    </row>
    <row r="9" spans="1:10" x14ac:dyDescent="0.35">
      <c r="A9" t="s">
        <v>33</v>
      </c>
      <c r="B9" s="8">
        <v>87.05</v>
      </c>
      <c r="C9" s="5" t="s">
        <v>397</v>
      </c>
      <c r="D9" s="20">
        <v>45930</v>
      </c>
      <c r="E9" s="5" t="s">
        <v>20</v>
      </c>
      <c r="F9" s="58">
        <v>10.17</v>
      </c>
      <c r="G9" s="58">
        <v>0.09</v>
      </c>
      <c r="H9" s="58">
        <v>2.0299999999999998</v>
      </c>
      <c r="I9" s="58">
        <v>0.6</v>
      </c>
      <c r="J9" s="51">
        <v>6.0000000000003273E-2</v>
      </c>
    </row>
    <row r="10" spans="1:10" x14ac:dyDescent="0.35">
      <c r="A10" t="s">
        <v>35</v>
      </c>
      <c r="B10" s="8">
        <v>86.35</v>
      </c>
      <c r="C10" s="5" t="s">
        <v>398</v>
      </c>
      <c r="D10" s="20">
        <v>45930</v>
      </c>
      <c r="E10" s="5" t="s">
        <v>20</v>
      </c>
      <c r="F10" s="58">
        <v>10.49</v>
      </c>
      <c r="G10" s="58">
        <v>0.1</v>
      </c>
      <c r="H10" s="58">
        <v>2.4500000000000002</v>
      </c>
      <c r="I10" s="58">
        <v>0.55000000000000004</v>
      </c>
      <c r="J10" s="51">
        <v>6.000000000000516E-2</v>
      </c>
    </row>
    <row r="11" spans="1:10" x14ac:dyDescent="0.35">
      <c r="A11" s="34" t="s">
        <v>80</v>
      </c>
      <c r="B11" s="8">
        <v>84.01</v>
      </c>
      <c r="C11" s="5" t="s">
        <v>399</v>
      </c>
      <c r="D11" s="20">
        <v>45681</v>
      </c>
      <c r="E11" s="5" t="s">
        <v>20</v>
      </c>
      <c r="F11" s="58">
        <v>9.3000000000000007</v>
      </c>
      <c r="G11" s="58">
        <v>0.1</v>
      </c>
      <c r="H11" s="58">
        <v>6.2</v>
      </c>
      <c r="I11" s="58">
        <v>0.3</v>
      </c>
      <c r="J11" s="51">
        <v>8.9999999999994362E-2</v>
      </c>
    </row>
    <row r="12" spans="1:10" x14ac:dyDescent="0.35">
      <c r="A12" s="34" t="s">
        <v>83</v>
      </c>
      <c r="B12" s="8">
        <v>85.27</v>
      </c>
      <c r="C12" s="5" t="s">
        <v>400</v>
      </c>
      <c r="D12" s="6">
        <v>44546</v>
      </c>
      <c r="E12" s="5" t="s">
        <v>20</v>
      </c>
      <c r="F12" s="58">
        <v>9.75</v>
      </c>
      <c r="G12" s="58">
        <v>0</v>
      </c>
      <c r="H12" s="58">
        <v>4.6100000000000003</v>
      </c>
      <c r="I12" s="58">
        <v>0.3</v>
      </c>
      <c r="J12" s="51">
        <v>7.000000000000367E-2</v>
      </c>
    </row>
    <row r="13" spans="1:10" x14ac:dyDescent="0.35">
      <c r="A13" s="34" t="s">
        <v>138</v>
      </c>
      <c r="B13" s="8">
        <v>87.2</v>
      </c>
      <c r="C13" s="5" t="s">
        <v>401</v>
      </c>
      <c r="D13" s="20">
        <v>43795</v>
      </c>
      <c r="E13" s="5" t="s">
        <v>20</v>
      </c>
      <c r="F13" s="59">
        <v>9.18</v>
      </c>
      <c r="G13" s="60">
        <v>0</v>
      </c>
      <c r="H13" s="59">
        <v>3.24</v>
      </c>
      <c r="I13" s="59">
        <v>0.3</v>
      </c>
      <c r="J13" s="51">
        <v>7.999999999999724E-2</v>
      </c>
    </row>
    <row r="14" spans="1:10" x14ac:dyDescent="0.35">
      <c r="A14" s="34" t="s">
        <v>94</v>
      </c>
      <c r="B14" s="8">
        <v>82.87</v>
      </c>
      <c r="C14" s="5" t="s">
        <v>402</v>
      </c>
      <c r="D14" s="20">
        <v>45280</v>
      </c>
      <c r="E14" s="5" t="s">
        <v>20</v>
      </c>
      <c r="F14" s="50">
        <v>13.6</v>
      </c>
      <c r="G14" s="50">
        <v>0.03</v>
      </c>
      <c r="H14" s="50">
        <v>3.14</v>
      </c>
      <c r="I14" s="50">
        <v>0.3</v>
      </c>
      <c r="J14" s="51">
        <v>5.999999999999589E-2</v>
      </c>
    </row>
    <row r="15" spans="1:10" x14ac:dyDescent="0.35">
      <c r="A15" s="34" t="s">
        <v>97</v>
      </c>
      <c r="B15" s="8">
        <v>84.52</v>
      </c>
      <c r="C15" s="5" t="s">
        <v>403</v>
      </c>
      <c r="D15" s="20">
        <v>45624</v>
      </c>
      <c r="E15" s="5" t="s">
        <v>20</v>
      </c>
      <c r="F15" s="50">
        <v>11.7</v>
      </c>
      <c r="G15" s="50">
        <v>0</v>
      </c>
      <c r="H15" s="50">
        <v>3.4</v>
      </c>
      <c r="I15" s="50">
        <v>0.3</v>
      </c>
      <c r="J15" s="51">
        <v>8.000000000000479E-2</v>
      </c>
    </row>
    <row r="16" spans="1:10" x14ac:dyDescent="0.35">
      <c r="C16" s="5"/>
      <c r="D16" s="5"/>
      <c r="E16" s="5"/>
    </row>
    <row r="19" spans="1:5" x14ac:dyDescent="0.35">
      <c r="A19" s="3" t="s">
        <v>50</v>
      </c>
    </row>
    <row r="20" spans="1:5" x14ac:dyDescent="0.35">
      <c r="A20" s="4" t="s">
        <v>51</v>
      </c>
      <c r="B20" s="4" t="s">
        <v>497</v>
      </c>
      <c r="C20" s="4" t="s">
        <v>14</v>
      </c>
      <c r="D20" s="4" t="s">
        <v>15</v>
      </c>
      <c r="E20" s="4" t="s">
        <v>16</v>
      </c>
    </row>
    <row r="21" spans="1:5" x14ac:dyDescent="0.35">
      <c r="A21" t="s">
        <v>53</v>
      </c>
      <c r="B21" s="35">
        <v>2252.83</v>
      </c>
      <c r="C21" s="5" t="s">
        <v>404</v>
      </c>
      <c r="D21" s="6">
        <v>44996</v>
      </c>
      <c r="E21" s="5" t="s">
        <v>20</v>
      </c>
    </row>
    <row r="22" spans="1:5" x14ac:dyDescent="0.35">
      <c r="A22" t="s">
        <v>56</v>
      </c>
      <c r="B22" s="35">
        <v>2364</v>
      </c>
      <c r="C22" s="5" t="s">
        <v>405</v>
      </c>
      <c r="D22" s="6">
        <v>45863</v>
      </c>
      <c r="E22" s="5" t="s">
        <v>20</v>
      </c>
    </row>
    <row r="23" spans="1:5" x14ac:dyDescent="0.35">
      <c r="A23" t="s">
        <v>58</v>
      </c>
      <c r="B23" s="35">
        <v>2350</v>
      </c>
      <c r="C23" s="5" t="s">
        <v>406</v>
      </c>
      <c r="D23" s="6">
        <v>46033</v>
      </c>
      <c r="E23" s="5" t="s">
        <v>20</v>
      </c>
    </row>
    <row r="24" spans="1:5" x14ac:dyDescent="0.35">
      <c r="A24" t="s">
        <v>60</v>
      </c>
      <c r="B24" s="35">
        <v>2274</v>
      </c>
      <c r="C24" s="5" t="s">
        <v>407</v>
      </c>
      <c r="D24" s="20">
        <v>45952</v>
      </c>
      <c r="E24" s="5" t="s">
        <v>20</v>
      </c>
    </row>
    <row r="25" spans="1:5" x14ac:dyDescent="0.35">
      <c r="A25" t="s">
        <v>62</v>
      </c>
      <c r="B25" s="35">
        <v>1919.9</v>
      </c>
      <c r="C25" s="5" t="s">
        <v>408</v>
      </c>
      <c r="D25" s="10">
        <v>45681</v>
      </c>
      <c r="E25" s="5" t="s">
        <v>20</v>
      </c>
    </row>
    <row r="26" spans="1:5" x14ac:dyDescent="0.35">
      <c r="A26" t="s">
        <v>64</v>
      </c>
      <c r="B26" s="35">
        <v>2125</v>
      </c>
      <c r="C26" s="5" t="s">
        <v>409</v>
      </c>
      <c r="D26" s="6">
        <v>44546</v>
      </c>
      <c r="E26" s="5" t="s">
        <v>20</v>
      </c>
    </row>
    <row r="27" spans="1:5" x14ac:dyDescent="0.35">
      <c r="A27" t="s">
        <v>66</v>
      </c>
      <c r="B27" s="35">
        <v>2100</v>
      </c>
      <c r="C27" s="5" t="s">
        <v>410</v>
      </c>
      <c r="D27" s="10">
        <v>43795</v>
      </c>
      <c r="E27" s="5" t="s">
        <v>20</v>
      </c>
    </row>
    <row r="28" spans="1:5" x14ac:dyDescent="0.35">
      <c r="A28" t="s">
        <v>158</v>
      </c>
      <c r="B28" s="35">
        <v>1986</v>
      </c>
      <c r="C28" s="5" t="s">
        <v>411</v>
      </c>
      <c r="D28" s="6">
        <v>45280</v>
      </c>
      <c r="E28" s="5" t="s">
        <v>20</v>
      </c>
    </row>
    <row r="29" spans="1:5" x14ac:dyDescent="0.35">
      <c r="A29" t="s">
        <v>122</v>
      </c>
      <c r="B29" s="35">
        <v>1914.2</v>
      </c>
      <c r="C29" s="5" t="s">
        <v>412</v>
      </c>
      <c r="D29" s="6">
        <v>45624</v>
      </c>
      <c r="E29" s="5" t="s">
        <v>20</v>
      </c>
    </row>
  </sheetData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Инструкция</vt:lpstr>
      <vt:lpstr>01 НазГРЭС</vt:lpstr>
      <vt:lpstr>02 КрТЭЦ-2</vt:lpstr>
      <vt:lpstr>03 НкТЭЦ</vt:lpstr>
      <vt:lpstr>04 КрТЭЦ-1</vt:lpstr>
      <vt:lpstr>05 КемГРЭС</vt:lpstr>
      <vt:lpstr>06 БарТЭЦ-2</vt:lpstr>
      <vt:lpstr>07 БарТЭЦ-3</vt:lpstr>
      <vt:lpstr>08 АбТЭЦ</vt:lpstr>
      <vt:lpstr>09 ТуГРЭС</vt:lpstr>
      <vt:lpstr>10 МинТЭЦ</vt:lpstr>
      <vt:lpstr>12 КрТЭЦ-3</vt:lpstr>
      <vt:lpstr>13 КанТЭЦ</vt:lpstr>
      <vt:lpstr>14 КемТЭЦ</vt:lpstr>
      <vt:lpstr>15 БелГРЭС</vt:lpstr>
      <vt:lpstr>17 НТЭЦ-2</vt:lpstr>
      <vt:lpstr>18 НТЭЦ-3</vt:lpstr>
      <vt:lpstr>19 НТЭЦ-4</vt:lpstr>
      <vt:lpstr>20 НТЭЦ-5</vt:lpstr>
      <vt:lpstr>21 БбТЭЦ</vt:lpstr>
      <vt:lpstr>22 БиТЭЦ</vt:lpstr>
      <vt:lpstr>24 КрГРЭС-2</vt:lpstr>
      <vt:lpstr>25 РефГРЭС</vt:lpstr>
      <vt:lpstr>26 ПрГРЭС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Якубович Александр Игоревич \ Aleksandr Iakubovich</cp:lastModifiedBy>
  <dcterms:created xsi:type="dcterms:W3CDTF">2026-02-19T13:11:58Z</dcterms:created>
  <dcterms:modified xsi:type="dcterms:W3CDTF">2026-04-22T06:27:43Z</dcterms:modified>
</cp:coreProperties>
</file>